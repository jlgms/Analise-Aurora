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Itens_pedido" sheetId="2" r:id="rId6"/>
    <sheet state="visible" name="Produtos" sheetId="3" r:id="rId7"/>
    <sheet state="visible" name="Vendedores" sheetId="4" r:id="rId8"/>
    <sheet state="visible" name="Pedidos" sheetId="5" r:id="rId9"/>
    <sheet state="visible" name="Análises" sheetId="6" r:id="rId10"/>
    <sheet state="visible" name="Dashboard" sheetId="7" r:id="rId11"/>
  </sheets>
  <definedNames>
    <definedName hidden="1" localSheetId="0" name="_xlnm._FilterDatabase">Clientes!$A$1:$J$101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<sst xmlns="http://schemas.openxmlformats.org/spreadsheetml/2006/main" count="8719" uniqueCount="2609">
  <si>
    <t>cliente_codigo</t>
  </si>
  <si>
    <t>nome</t>
  </si>
  <si>
    <t>segmento</t>
  </si>
  <si>
    <t>porte</t>
  </si>
  <si>
    <t>cidade</t>
  </si>
  <si>
    <t>uf</t>
  </si>
  <si>
    <t>vendedor_codigo</t>
  </si>
  <si>
    <t>canal</t>
  </si>
  <si>
    <t>ticket_medio_mensal</t>
  </si>
  <si>
    <t>margem_bandeira</t>
  </si>
  <si>
    <t>C-0001</t>
  </si>
  <si>
    <t>AgroMar</t>
  </si>
  <si>
    <t>alimenticio</t>
  </si>
  <si>
    <t>G</t>
  </si>
  <si>
    <t>Campo Mourão</t>
  </si>
  <si>
    <t>PR</t>
  </si>
  <si>
    <t>V-COR</t>
  </si>
  <si>
    <t>cooperativa</t>
  </si>
  <si>
    <t>verde</t>
  </si>
  <si>
    <t>C-0002</t>
  </si>
  <si>
    <t>NorteAgro</t>
  </si>
  <si>
    <t>Maringá</t>
  </si>
  <si>
    <t>V-003</t>
  </si>
  <si>
    <t>C-0003</t>
  </si>
  <si>
    <t>Nova Era Cosméticos</t>
  </si>
  <si>
    <t>cosmetico</t>
  </si>
  <si>
    <t>externo</t>
  </si>
  <si>
    <t>amarela</t>
  </si>
  <si>
    <t>C-0004</t>
  </si>
  <si>
    <t>CoopFrigo</t>
  </si>
  <si>
    <t>Medianeira</t>
  </si>
  <si>
    <t>C-0005</t>
  </si>
  <si>
    <t>Distribuidora Sul PR</t>
  </si>
  <si>
    <t>distribuidor</t>
  </si>
  <si>
    <t>Curitiba</t>
  </si>
  <si>
    <t>C-0006</t>
  </si>
  <si>
    <t>CoopVale</t>
  </si>
  <si>
    <t>M</t>
  </si>
  <si>
    <t>Cascavel</t>
  </si>
  <si>
    <t>V-002</t>
  </si>
  <si>
    <t>C-0007</t>
  </si>
  <si>
    <t>Farmavida</t>
  </si>
  <si>
    <t>farmaceutico</t>
  </si>
  <si>
    <t>V-001</t>
  </si>
  <si>
    <t>interno</t>
  </si>
  <si>
    <t>C-0008</t>
  </si>
  <si>
    <t>Bell Beauty</t>
  </si>
  <si>
    <t>São Paulo</t>
  </si>
  <si>
    <t>SP</t>
  </si>
  <si>
    <t>V-004</t>
  </si>
  <si>
    <t>vermelha</t>
  </si>
  <si>
    <t>C-0009</t>
  </si>
  <si>
    <t>LogiPack</t>
  </si>
  <si>
    <t>logistica</t>
  </si>
  <si>
    <t>Joinville</t>
  </si>
  <si>
    <t>SC</t>
  </si>
  <si>
    <t>V-005</t>
  </si>
  <si>
    <t>C-0010</t>
  </si>
  <si>
    <t>Distribuidora Oeste</t>
  </si>
  <si>
    <t>C-0011</t>
  </si>
  <si>
    <t>BioGenova</t>
  </si>
  <si>
    <t>C-0012</t>
  </si>
  <si>
    <t>Mercosul Atacado</t>
  </si>
  <si>
    <t>Foz do Iguaçu</t>
  </si>
  <si>
    <t>C-0013</t>
  </si>
  <si>
    <t>Aromatic</t>
  </si>
  <si>
    <t>C-0014</t>
  </si>
  <si>
    <t>Vale Norte Atacarejo</t>
  </si>
  <si>
    <t>varejo</t>
  </si>
  <si>
    <t>C-0015</t>
  </si>
  <si>
    <t>Naturalle</t>
  </si>
  <si>
    <t>C-0016</t>
  </si>
  <si>
    <t>Supermercados Avenida</t>
  </si>
  <si>
    <t>P</t>
  </si>
  <si>
    <t>C-0017</t>
  </si>
  <si>
    <t>EnvioFácil</t>
  </si>
  <si>
    <t>ecommerce</t>
  </si>
  <si>
    <t>São José dos Pinhais</t>
  </si>
  <si>
    <t>C-0018</t>
  </si>
  <si>
    <t>Bom Sabor Alimentos</t>
  </si>
  <si>
    <t>Toledo</t>
  </si>
  <si>
    <t>C-0019</t>
  </si>
  <si>
    <t>Padaria Aurora</t>
  </si>
  <si>
    <t>outros</t>
  </si>
  <si>
    <t>PP</t>
  </si>
  <si>
    <t>V-007</t>
  </si>
  <si>
    <t>C-0020</t>
  </si>
  <si>
    <t>Padaria do Seu Joaquim</t>
  </si>
  <si>
    <t>C-0021</t>
  </si>
  <si>
    <t>Atacadão Centro Oeste</t>
  </si>
  <si>
    <t>Marechal Cândido Rondon</t>
  </si>
  <si>
    <t>V-006</t>
  </si>
  <si>
    <t>C-0022</t>
  </si>
  <si>
    <t>EssenciaPura</t>
  </si>
  <si>
    <t>Chapecó</t>
  </si>
  <si>
    <t>C-0023</t>
  </si>
  <si>
    <t>Mercado Vale</t>
  </si>
  <si>
    <t>Campinas</t>
  </si>
  <si>
    <t>C-0024</t>
  </si>
  <si>
    <t>Atacarejo Maringá</t>
  </si>
  <si>
    <t>Londrina</t>
  </si>
  <si>
    <t>C-0025</t>
  </si>
  <si>
    <t>Vivê Beauty</t>
  </si>
  <si>
    <t>C-0026</t>
  </si>
  <si>
    <t>Sabor da Terra</t>
  </si>
  <si>
    <t>Apucarana</t>
  </si>
  <si>
    <t>C-0027</t>
  </si>
  <si>
    <t>DistribuPlus</t>
  </si>
  <si>
    <t>C-0028</t>
  </si>
  <si>
    <t>Ciência da Vida Farma</t>
  </si>
  <si>
    <t>Francisco Beltrão</t>
  </si>
  <si>
    <t>C-0029</t>
  </si>
  <si>
    <t>Salutar Farma Comércio</t>
  </si>
  <si>
    <t>C-0030</t>
  </si>
  <si>
    <t>Sabor Forte Alimentos</t>
  </si>
  <si>
    <t>C-0031</t>
  </si>
  <si>
    <t>Comercial Bandeirantes</t>
  </si>
  <si>
    <t>Porto Alegre</t>
  </si>
  <si>
    <t>RS</t>
  </si>
  <si>
    <t>C-0032</t>
  </si>
  <si>
    <t>Coopercana ME</t>
  </si>
  <si>
    <t>C-0033</t>
  </si>
  <si>
    <t>Distrib. Tropical Ltda</t>
  </si>
  <si>
    <t>Florianópolis</t>
  </si>
  <si>
    <t>C-0034</t>
  </si>
  <si>
    <t>Mercatto Indústria</t>
  </si>
  <si>
    <t>C-0035</t>
  </si>
  <si>
    <t>Biolatina Indústria Cooperativa</t>
  </si>
  <si>
    <t>C-0036</t>
  </si>
  <si>
    <t>EnviaTudo Cooperativa</t>
  </si>
  <si>
    <t>C-0037</t>
  </si>
  <si>
    <t>PackExpress Cooperativa</t>
  </si>
  <si>
    <t>C-0038</t>
  </si>
  <si>
    <t>Doce Vale</t>
  </si>
  <si>
    <t>C-0039</t>
  </si>
  <si>
    <t>Nutrigrão Cooperativa</t>
  </si>
  <si>
    <t>C-0040</t>
  </si>
  <si>
    <t>Varejo Familiar Ltda</t>
  </si>
  <si>
    <t>C-0041</t>
  </si>
  <si>
    <t>Mercatto ME</t>
  </si>
  <si>
    <t>C-0042</t>
  </si>
  <si>
    <t>EssenciaPura Comércio</t>
  </si>
  <si>
    <t>Pato Branco</t>
  </si>
  <si>
    <t>C-0043</t>
  </si>
  <si>
    <t>Rede Vita ME</t>
  </si>
  <si>
    <t>C-0044</t>
  </si>
  <si>
    <t>Mercado Vale Ltda</t>
  </si>
  <si>
    <t>C-0045</t>
  </si>
  <si>
    <t>Vivê Beauty ME</t>
  </si>
  <si>
    <t>C-0046</t>
  </si>
  <si>
    <t>EnviaTudo Comércio</t>
  </si>
  <si>
    <t>C-0047</t>
  </si>
  <si>
    <t>Varejo Familiar Ltda (Foz do Iguaçu)</t>
  </si>
  <si>
    <t>C-0048</t>
  </si>
  <si>
    <t>Mercatto S.A.</t>
  </si>
  <si>
    <t>C-0049</t>
  </si>
  <si>
    <t>Nutrigrão ME</t>
  </si>
  <si>
    <t>C-0050</t>
  </si>
  <si>
    <t>Mercosul Comércio EPP</t>
  </si>
  <si>
    <t>C-0051</t>
  </si>
  <si>
    <t>Biolatina Indústria EPP</t>
  </si>
  <si>
    <t>C-0052</t>
  </si>
  <si>
    <t>Distrib. Litoral Sul Ltda</t>
  </si>
  <si>
    <t>C-0053</t>
  </si>
  <si>
    <t>RotaFácil S.A.</t>
  </si>
  <si>
    <t>C-0054</t>
  </si>
  <si>
    <t>Laticínios Boa Vista Comércio</t>
  </si>
  <si>
    <t>C-0055</t>
  </si>
  <si>
    <t>Granoma Alimentos S.A.</t>
  </si>
  <si>
    <t>C-0056</t>
  </si>
  <si>
    <t>Supermercados Vivo EPP</t>
  </si>
  <si>
    <t>C-0057</t>
  </si>
  <si>
    <t>Solene Cosméticos Ltda</t>
  </si>
  <si>
    <t>C-0058</t>
  </si>
  <si>
    <t>Distribuidora Sul Sul Ltda</t>
  </si>
  <si>
    <t>C-0059</t>
  </si>
  <si>
    <t>Nutrigrão Comércio</t>
  </si>
  <si>
    <t>C-0060</t>
  </si>
  <si>
    <t>EntregaCerta ME</t>
  </si>
  <si>
    <t>C-0061</t>
  </si>
  <si>
    <t>Mercosul Comércio EPP (Joinville)</t>
  </si>
  <si>
    <t>C-0062</t>
  </si>
  <si>
    <t>Mercatto Comércio</t>
  </si>
  <si>
    <t>C-0063</t>
  </si>
  <si>
    <t>Distrib. Litoral Sul S.A.</t>
  </si>
  <si>
    <t>C-0064</t>
  </si>
  <si>
    <t>Floratta Cosméticos S.A.</t>
  </si>
  <si>
    <t>C-0065</t>
  </si>
  <si>
    <t>Granoma Alimentos EPP</t>
  </si>
  <si>
    <t>C-0066</t>
  </si>
  <si>
    <t>EnviaTudo Cooperativa (Joinville)</t>
  </si>
  <si>
    <t>C-0067</t>
  </si>
  <si>
    <t>Solene Cosméticos Ltda (São Paulo)</t>
  </si>
  <si>
    <t>C-0068</t>
  </si>
  <si>
    <t>Vita Floral S.A.</t>
  </si>
  <si>
    <t>C-0069</t>
  </si>
  <si>
    <t>Lumen Beauty</t>
  </si>
  <si>
    <t>C-0070</t>
  </si>
  <si>
    <t>Sabor Forte Alimentos Indústria</t>
  </si>
  <si>
    <t>C-0071</t>
  </si>
  <si>
    <t>DistribuPlus Ltda</t>
  </si>
  <si>
    <t>C-0072</t>
  </si>
  <si>
    <t>PackExpress Ltda</t>
  </si>
  <si>
    <t>C-0073</t>
  </si>
  <si>
    <t>BeautyLab S.A.</t>
  </si>
  <si>
    <t>C-0074</t>
  </si>
  <si>
    <t>Farmalivre Indústria</t>
  </si>
  <si>
    <t>C-0075</t>
  </si>
  <si>
    <t>Granoma Alimentos Cooperativa</t>
  </si>
  <si>
    <t>C-0076</t>
  </si>
  <si>
    <t>Ciência da Vida Farma ME</t>
  </si>
  <si>
    <t>C-0077</t>
  </si>
  <si>
    <t>PackExpress S.A.</t>
  </si>
  <si>
    <t>C-0078</t>
  </si>
  <si>
    <t>Doce Vale ME</t>
  </si>
  <si>
    <t>C-0079</t>
  </si>
  <si>
    <t>Lumen Beauty EPP</t>
  </si>
  <si>
    <t>C-0080</t>
  </si>
  <si>
    <t>Cherie Cosméticos Ltda</t>
  </si>
  <si>
    <t>C-0081</t>
  </si>
  <si>
    <t>Tradição Alimentos Comércio</t>
  </si>
  <si>
    <t>C-0082</t>
  </si>
  <si>
    <t>EssenciaPura EPP</t>
  </si>
  <si>
    <t>C-0083</t>
  </si>
  <si>
    <t>Mercosul Comércio S.A.</t>
  </si>
  <si>
    <t>C-0084</t>
  </si>
  <si>
    <t>Laticínios Boa Vista EPP</t>
  </si>
  <si>
    <t>C-0085</t>
  </si>
  <si>
    <t>Granoma Alimentos Indústria</t>
  </si>
  <si>
    <t>C-0086</t>
  </si>
  <si>
    <t>Sirena Perfumaria S.A.</t>
  </si>
  <si>
    <t>C-0087</t>
  </si>
  <si>
    <t>Indústria Caraíbas ME</t>
  </si>
  <si>
    <t>C-0088</t>
  </si>
  <si>
    <t>Doce Vale Comércio</t>
  </si>
  <si>
    <t>C-0089</t>
  </si>
  <si>
    <t>Saúde Total Labs Comércio</t>
  </si>
  <si>
    <t>C-0090</t>
  </si>
  <si>
    <t>Sabor Forte Alimentos Comércio</t>
  </si>
  <si>
    <t>C-0091</t>
  </si>
  <si>
    <t>FreteFix Comércio</t>
  </si>
  <si>
    <t>C-0092</t>
  </si>
  <si>
    <t>EssenciaPura EPP (Cascavel)</t>
  </si>
  <si>
    <t>C-0093</t>
  </si>
  <si>
    <t>RotaFácil Comércio</t>
  </si>
  <si>
    <t>C-0094</t>
  </si>
  <si>
    <t>Laticínios Boa Vista ME</t>
  </si>
  <si>
    <t>C-0095</t>
  </si>
  <si>
    <t>MedPlus Indústria Cooperativa</t>
  </si>
  <si>
    <t>C-0096</t>
  </si>
  <si>
    <t>Distrib. Litoral Sul EPP</t>
  </si>
  <si>
    <t>C-0097</t>
  </si>
  <si>
    <t>Saúde Total Labs S.A.</t>
  </si>
  <si>
    <t>C-0098</t>
  </si>
  <si>
    <t>Atacadão Centro Oeste S.A.</t>
  </si>
  <si>
    <t>C-0099</t>
  </si>
  <si>
    <t>Lumen Beauty EPP (Apucarana)</t>
  </si>
  <si>
    <t>C-0100</t>
  </si>
  <si>
    <t>Mercado Vale Ltda (Londrina)</t>
  </si>
  <si>
    <t>item_id</t>
  </si>
  <si>
    <t>pedido_id</t>
  </si>
  <si>
    <t>sku</t>
  </si>
  <si>
    <t>qtd</t>
  </si>
  <si>
    <t>preco_unitario</t>
  </si>
  <si>
    <t>custo_unitario</t>
  </si>
  <si>
    <t>valor_linha</t>
  </si>
  <si>
    <t>custo_linha</t>
  </si>
  <si>
    <t>margem_linha</t>
  </si>
  <si>
    <t>P-2026-04-0001</t>
  </si>
  <si>
    <t>SKU-CXM-CUS</t>
  </si>
  <si>
    <t>SKU-CXG-CUS</t>
  </si>
  <si>
    <t>P-2026-04-0002</t>
  </si>
  <si>
    <t>SKU-CXP-PAD</t>
  </si>
  <si>
    <t>28691.6</t>
  </si>
  <si>
    <t>25617.5</t>
  </si>
  <si>
    <t>P-2026-04-0003</t>
  </si>
  <si>
    <t>SKU-CXM-PAD</t>
  </si>
  <si>
    <t>P-2026-04-0004</t>
  </si>
  <si>
    <t>SKU-CXP-CUS</t>
  </si>
  <si>
    <t>2.85</t>
  </si>
  <si>
    <t>1441.6</t>
  </si>
  <si>
    <t>1208.4</t>
  </si>
  <si>
    <t>233.2</t>
  </si>
  <si>
    <t>1438.2</t>
  </si>
  <si>
    <t>1205.55</t>
  </si>
  <si>
    <t>232.65</t>
  </si>
  <si>
    <t>P-2026-04-0005</t>
  </si>
  <si>
    <t>SKU-CXG-PRE</t>
  </si>
  <si>
    <t>P-2026-04-0006</t>
  </si>
  <si>
    <t>42556.8</t>
  </si>
  <si>
    <t>14731.2</t>
  </si>
  <si>
    <t>SKU-CXM-PRE</t>
  </si>
  <si>
    <t>57283.2</t>
  </si>
  <si>
    <t>42962.4</t>
  </si>
  <si>
    <t>14320.8</t>
  </si>
  <si>
    <t>P-2026-04-0007</t>
  </si>
  <si>
    <t>87537.75</t>
  </si>
  <si>
    <t>16893.25</t>
  </si>
  <si>
    <t>P-2026-04-0008</t>
  </si>
  <si>
    <t>1135.2</t>
  </si>
  <si>
    <t>638.4</t>
  </si>
  <si>
    <t>P-2026-04-0009</t>
  </si>
  <si>
    <t>1417.6</t>
  </si>
  <si>
    <t>P-2026-04-0010</t>
  </si>
  <si>
    <t>862.4</t>
  </si>
  <si>
    <t>P-2026-04-0011</t>
  </si>
  <si>
    <t>4306.35</t>
  </si>
  <si>
    <t>831.05</t>
  </si>
  <si>
    <t>830.5</t>
  </si>
  <si>
    <t>P-2026-04-0012</t>
  </si>
  <si>
    <t>742.5</t>
  </si>
  <si>
    <t>SKU-CXP-PRE</t>
  </si>
  <si>
    <t>619.2</t>
  </si>
  <si>
    <t>P-2026-04-0013</t>
  </si>
  <si>
    <t>808.8</t>
  </si>
  <si>
    <t>1438.4</t>
  </si>
  <si>
    <t>P-2026-04-0014</t>
  </si>
  <si>
    <t>SKU-CXG-PAD</t>
  </si>
  <si>
    <t>10835.5</t>
  </si>
  <si>
    <t>P-2026-04-0015</t>
  </si>
  <si>
    <t>1702.5</t>
  </si>
  <si>
    <t>204.3</t>
  </si>
  <si>
    <t>P-2026-04-0016</t>
  </si>
  <si>
    <t>116524.8</t>
  </si>
  <si>
    <t>97675.2</t>
  </si>
  <si>
    <t>18849.6</t>
  </si>
  <si>
    <t>P-2026-04-0017</t>
  </si>
  <si>
    <t>816.2</t>
  </si>
  <si>
    <t>405.6</t>
  </si>
  <si>
    <t>P-2026-04-0018</t>
  </si>
  <si>
    <t>67485.6</t>
  </si>
  <si>
    <t>P-2026-04-0019</t>
  </si>
  <si>
    <t>1234.2</t>
  </si>
  <si>
    <t>338.8</t>
  </si>
  <si>
    <t>1570.8</t>
  </si>
  <si>
    <t>1271.6</t>
  </si>
  <si>
    <t>299.2</t>
  </si>
  <si>
    <t>1566.5</t>
  </si>
  <si>
    <t>1229.1</t>
  </si>
  <si>
    <t>337.4</t>
  </si>
  <si>
    <t>P-2026-04-0020</t>
  </si>
  <si>
    <t>11704.5</t>
  </si>
  <si>
    <t>12259.5</t>
  </si>
  <si>
    <t>P-2026-04-0021</t>
  </si>
  <si>
    <t>1336.2</t>
  </si>
  <si>
    <t>366.8</t>
  </si>
  <si>
    <t>P-2026-04-0022</t>
  </si>
  <si>
    <t>56057.4</t>
  </si>
  <si>
    <t>44045.1</t>
  </si>
  <si>
    <t>12012.3</t>
  </si>
  <si>
    <t>56052.4</t>
  </si>
  <si>
    <t>42039.3</t>
  </si>
  <si>
    <t>14013.1</t>
  </si>
  <si>
    <t>P-2026-04-0023</t>
  </si>
  <si>
    <t>1873.2</t>
  </si>
  <si>
    <t>1672.5</t>
  </si>
  <si>
    <t>200.7</t>
  </si>
  <si>
    <t>1516.4</t>
  </si>
  <si>
    <t>356.8</t>
  </si>
  <si>
    <t>P-2026-04-0024</t>
  </si>
  <si>
    <t>29425.2</t>
  </si>
  <si>
    <t>23119.8</t>
  </si>
  <si>
    <t>P-2026-04-0025</t>
  </si>
  <si>
    <t>1122.8</t>
  </si>
  <si>
    <t>P-2026-04-0026</t>
  </si>
  <si>
    <t>1795.2</t>
  </si>
  <si>
    <t>422.4</t>
  </si>
  <si>
    <t>237.3</t>
  </si>
  <si>
    <t>P-2026-04-0027</t>
  </si>
  <si>
    <t>P-2026-04-0028</t>
  </si>
  <si>
    <t>P-2026-04-0029</t>
  </si>
  <si>
    <t>80823.6</t>
  </si>
  <si>
    <t>62949.15</t>
  </si>
  <si>
    <t>17874.45</t>
  </si>
  <si>
    <t>80827.4</t>
  </si>
  <si>
    <t>61113.4</t>
  </si>
  <si>
    <t>P-2026-04-0030</t>
  </si>
  <si>
    <t>54356.4</t>
  </si>
  <si>
    <t>44002.8</t>
  </si>
  <si>
    <t>10353.6</t>
  </si>
  <si>
    <t>54359.5</t>
  </si>
  <si>
    <t>42651.3</t>
  </si>
  <si>
    <t>11708.2</t>
  </si>
  <si>
    <t>P-2026-04-0031</t>
  </si>
  <si>
    <t>1253.6</t>
  </si>
  <si>
    <t>P-2026-04-0032</t>
  </si>
  <si>
    <t>654.4</t>
  </si>
  <si>
    <t>367.8</t>
  </si>
  <si>
    <t>P-2026-04-0033</t>
  </si>
  <si>
    <t>316.5</t>
  </si>
  <si>
    <t>P-2026-04-0034</t>
  </si>
  <si>
    <t>20533.8</t>
  </si>
  <si>
    <t>16622.6</t>
  </si>
  <si>
    <t>20535.2</t>
  </si>
  <si>
    <t>P-2026-04-0035</t>
  </si>
  <si>
    <t>1669.6</t>
  </si>
  <si>
    <t>P-2026-04-0036</t>
  </si>
  <si>
    <t>716.8</t>
  </si>
  <si>
    <t>810.6</t>
  </si>
  <si>
    <t>P-2026-04-0037</t>
  </si>
  <si>
    <t>11629.8</t>
  </si>
  <si>
    <t>P-2026-04-0038</t>
  </si>
  <si>
    <t>1626.8</t>
  </si>
  <si>
    <t>1452.5</t>
  </si>
  <si>
    <t>174.3</t>
  </si>
  <si>
    <t>1631.5</t>
  </si>
  <si>
    <t>1280.1</t>
  </si>
  <si>
    <t>351.4</t>
  </si>
  <si>
    <t>P-2026-04-0039</t>
  </si>
  <si>
    <t>548.8</t>
  </si>
  <si>
    <t>P-2026-04-0040</t>
  </si>
  <si>
    <t>281.7</t>
  </si>
  <si>
    <t>P-2026-04-0041</t>
  </si>
  <si>
    <t>798.4</t>
  </si>
  <si>
    <t>P-2026-04-0042</t>
  </si>
  <si>
    <t>336.9</t>
  </si>
  <si>
    <t>P-2026-04-0043</t>
  </si>
  <si>
    <t>P-2026-04-0044</t>
  </si>
  <si>
    <t>719.7</t>
  </si>
  <si>
    <t>P-2026-04-0045</t>
  </si>
  <si>
    <t>1221.3</t>
  </si>
  <si>
    <t>1222.2</t>
  </si>
  <si>
    <t>P-2026-04-0046</t>
  </si>
  <si>
    <t>P-2026-04-0047</t>
  </si>
  <si>
    <t>81223.8</t>
  </si>
  <si>
    <t>65752.6</t>
  </si>
  <si>
    <t>15471.2</t>
  </si>
  <si>
    <t>P-2026-04-0048</t>
  </si>
  <si>
    <t>16962.4</t>
  </si>
  <si>
    <t>13211.1</t>
  </si>
  <si>
    <t>P-2026-04-0049</t>
  </si>
  <si>
    <t>P-2026-04-0050</t>
  </si>
  <si>
    <t>880.6</t>
  </si>
  <si>
    <t>P-2026-04-0051</t>
  </si>
  <si>
    <t>435.3</t>
  </si>
  <si>
    <t>773.6</t>
  </si>
  <si>
    <t>P-2026-04-0052</t>
  </si>
  <si>
    <t>856.5</t>
  </si>
  <si>
    <t>P-2026-04-0053</t>
  </si>
  <si>
    <t>204475.2</t>
  </si>
  <si>
    <t>154603.2</t>
  </si>
  <si>
    <t>P-2026-04-0054</t>
  </si>
  <si>
    <t>382.2</t>
  </si>
  <si>
    <t>P-2026-04-0055</t>
  </si>
  <si>
    <t>8222.25</t>
  </si>
  <si>
    <t>1586.75</t>
  </si>
  <si>
    <t>P-2026-04-0056</t>
  </si>
  <si>
    <t>1025.1</t>
  </si>
  <si>
    <t>P-2026-04-0057</t>
  </si>
  <si>
    <t>878.9</t>
  </si>
  <si>
    <t>753.3</t>
  </si>
  <si>
    <t>P-2026-04-0058</t>
  </si>
  <si>
    <t>11638.2</t>
  </si>
  <si>
    <t>11636.8</t>
  </si>
  <si>
    <t>1246.8</t>
  </si>
  <si>
    <t>P-2026-04-0059</t>
  </si>
  <si>
    <t>1250.2</t>
  </si>
  <si>
    <t>621.3</t>
  </si>
  <si>
    <t>P-2026-04-0060</t>
  </si>
  <si>
    <t>47829.6</t>
  </si>
  <si>
    <t>38719.2</t>
  </si>
  <si>
    <t>P-2026-04-0061</t>
  </si>
  <si>
    <t>16363.2</t>
  </si>
  <si>
    <t>12856.8</t>
  </si>
  <si>
    <t>P-2026-04-0062</t>
  </si>
  <si>
    <t>1621.65</t>
  </si>
  <si>
    <t>312.95</t>
  </si>
  <si>
    <t>P-2026-04-0063</t>
  </si>
  <si>
    <t>16718.8</t>
  </si>
  <si>
    <t>14927.5</t>
  </si>
  <si>
    <t>1791.3</t>
  </si>
  <si>
    <t>P-2026-04-0064</t>
  </si>
  <si>
    <t>1866.6</t>
  </si>
  <si>
    <t>512.4</t>
  </si>
  <si>
    <t>P-2026-04-0065</t>
  </si>
  <si>
    <t>988.2</t>
  </si>
  <si>
    <t>1152.6</t>
  </si>
  <si>
    <t>P-2026-04-0066</t>
  </si>
  <si>
    <t>242.7</t>
  </si>
  <si>
    <t>242.4</t>
  </si>
  <si>
    <t>P-2026-04-0067</t>
  </si>
  <si>
    <t>49378.2</t>
  </si>
  <si>
    <t>13554.8</t>
  </si>
  <si>
    <t>P-2026-04-0068</t>
  </si>
  <si>
    <t>132787.2</t>
  </si>
  <si>
    <t>14227.2</t>
  </si>
  <si>
    <t>P-2026-04-0069</t>
  </si>
  <si>
    <t>22684.2</t>
  </si>
  <si>
    <t>17823.3</t>
  </si>
  <si>
    <t>22688.4</t>
  </si>
  <si>
    <t>17826.6</t>
  </si>
  <si>
    <t>P-2026-04-0070</t>
  </si>
  <si>
    <t>12839.4</t>
  </si>
  <si>
    <t>10393.8</t>
  </si>
  <si>
    <t>12837.5</t>
  </si>
  <si>
    <t>10072.5</t>
  </si>
  <si>
    <t>P-2026-04-0071</t>
  </si>
  <si>
    <t>818.4</t>
  </si>
  <si>
    <t>P-2026-04-0072</t>
  </si>
  <si>
    <t>P-2026-04-0073</t>
  </si>
  <si>
    <t>11264.4</t>
  </si>
  <si>
    <t>P-2026-04-0074</t>
  </si>
  <si>
    <t>10920.8</t>
  </si>
  <si>
    <t>1766.6</t>
  </si>
  <si>
    <t>P-2026-04-0075</t>
  </si>
  <si>
    <t>1256.4</t>
  </si>
  <si>
    <t>P-2026-04-0076</t>
  </si>
  <si>
    <t>75457.2</t>
  </si>
  <si>
    <t>61084.4</t>
  </si>
  <si>
    <t>14372.8</t>
  </si>
  <si>
    <t>59200.8</t>
  </si>
  <si>
    <t>16251.2</t>
  </si>
  <si>
    <t>75458.5</t>
  </si>
  <si>
    <t>59205.9</t>
  </si>
  <si>
    <t>16252.6</t>
  </si>
  <si>
    <t>P-2026-04-0077</t>
  </si>
  <si>
    <t>16686.6</t>
  </si>
  <si>
    <t>13508.2</t>
  </si>
  <si>
    <t>16690.8</t>
  </si>
  <si>
    <t>13511.6</t>
  </si>
  <si>
    <t>P-2026-04-0078</t>
  </si>
  <si>
    <t>13513.5</t>
  </si>
  <si>
    <t>10602.9</t>
  </si>
  <si>
    <t>12062.5</t>
  </si>
  <si>
    <t>1447.5</t>
  </si>
  <si>
    <t>P-2026-04-0079</t>
  </si>
  <si>
    <t>P-2026-04-0080</t>
  </si>
  <si>
    <t>1341.6</t>
  </si>
  <si>
    <t>1517.6</t>
  </si>
  <si>
    <t>754.2</t>
  </si>
  <si>
    <t>P-2026-04-0081</t>
  </si>
  <si>
    <t>61298.6</t>
  </si>
  <si>
    <t>51382.65</t>
  </si>
  <si>
    <t>9915.95</t>
  </si>
  <si>
    <t>P-2026-04-0082</t>
  </si>
  <si>
    <t>1293.3</t>
  </si>
  <si>
    <t>P-2026-04-0083</t>
  </si>
  <si>
    <t>976.8</t>
  </si>
  <si>
    <t>P-2026-04-0084</t>
  </si>
  <si>
    <t>10995.6</t>
  </si>
  <si>
    <t>14015.4</t>
  </si>
  <si>
    <t>11345.8</t>
  </si>
  <si>
    <t>P-2026-04-0085</t>
  </si>
  <si>
    <t>86305.6</t>
  </si>
  <si>
    <t>64729.2</t>
  </si>
  <si>
    <t>21576.4</t>
  </si>
  <si>
    <t>P-2026-04-0086</t>
  </si>
  <si>
    <t>1537.2</t>
  </si>
  <si>
    <t>1793.5</t>
  </si>
  <si>
    <t>1536.3</t>
  </si>
  <si>
    <t>P-2026-04-0087</t>
  </si>
  <si>
    <t>260.4</t>
  </si>
  <si>
    <t>523.6</t>
  </si>
  <si>
    <t>522.2</t>
  </si>
  <si>
    <t>P-2026-04-0088</t>
  </si>
  <si>
    <t>P-2026-04-0089</t>
  </si>
  <si>
    <t>1036.8</t>
  </si>
  <si>
    <t>1037.6</t>
  </si>
  <si>
    <t>583.2</t>
  </si>
  <si>
    <t>P-2026-04-0090</t>
  </si>
  <si>
    <t>338.1</t>
  </si>
  <si>
    <t>337.8</t>
  </si>
  <si>
    <t>P-2026-04-0091</t>
  </si>
  <si>
    <t>616.8</t>
  </si>
  <si>
    <t>P-2026-04-0092</t>
  </si>
  <si>
    <t>781.2</t>
  </si>
  <si>
    <t>1388.8</t>
  </si>
  <si>
    <t>P-2026-04-0093</t>
  </si>
  <si>
    <t>15817.2</t>
  </si>
  <si>
    <t>12427.8</t>
  </si>
  <si>
    <t>P-2026-04-0094</t>
  </si>
  <si>
    <t>18460.4</t>
  </si>
  <si>
    <t>16482.5</t>
  </si>
  <si>
    <t>18463.2</t>
  </si>
  <si>
    <t>P-2026-04-0095</t>
  </si>
  <si>
    <t>24154.2</t>
  </si>
  <si>
    <t>18978.3</t>
  </si>
  <si>
    <t>24158.4</t>
  </si>
  <si>
    <t>18981.6</t>
  </si>
  <si>
    <t>P-2026-04-0096</t>
  </si>
  <si>
    <t>86170.5</t>
  </si>
  <si>
    <t>67610.7</t>
  </si>
  <si>
    <t>18559.8</t>
  </si>
  <si>
    <t>P-2026-04-0097</t>
  </si>
  <si>
    <t>266.1</t>
  </si>
  <si>
    <t>472.8</t>
  </si>
  <si>
    <t>P-2026-04-0098</t>
  </si>
  <si>
    <t>47426.4</t>
  </si>
  <si>
    <t>P-2026-04-0099</t>
  </si>
  <si>
    <t>809.6</t>
  </si>
  <si>
    <t>4192.35</t>
  </si>
  <si>
    <t>809.05</t>
  </si>
  <si>
    <t>P-2026-04-0100</t>
  </si>
  <si>
    <t>510.9</t>
  </si>
  <si>
    <t>1027.6</t>
  </si>
  <si>
    <t>P-2026-04-0101</t>
  </si>
  <si>
    <t>520.8</t>
  </si>
  <si>
    <t>589.4</t>
  </si>
  <si>
    <t>P-2026-04-0102</t>
  </si>
  <si>
    <t>15206.8</t>
  </si>
  <si>
    <t>13577.5</t>
  </si>
  <si>
    <t>1629.3</t>
  </si>
  <si>
    <t>P-2026-04-0103</t>
  </si>
  <si>
    <t>1636.8</t>
  </si>
  <si>
    <t>446.4</t>
  </si>
  <si>
    <t>1633.5</t>
  </si>
  <si>
    <t>445.5</t>
  </si>
  <si>
    <t>P-2026-04-0104</t>
  </si>
  <si>
    <t>1691.2</t>
  </si>
  <si>
    <t>P-2026-04-0105</t>
  </si>
  <si>
    <t>50685.6</t>
  </si>
  <si>
    <t>41031.2</t>
  </si>
  <si>
    <t>P-2026-04-0106</t>
  </si>
  <si>
    <t>10327.8</t>
  </si>
  <si>
    <t>10326.4</t>
  </si>
  <si>
    <t>1106.4</t>
  </si>
  <si>
    <t>P-2026-04-0107</t>
  </si>
  <si>
    <t>20359.5</t>
  </si>
  <si>
    <t>15124.2</t>
  </si>
  <si>
    <t>20353.2</t>
  </si>
  <si>
    <t>15991.8</t>
  </si>
  <si>
    <t>P-2026-04-0108</t>
  </si>
  <si>
    <t>1618.5</t>
  </si>
  <si>
    <t>1269.9</t>
  </si>
  <si>
    <t>348.6</t>
  </si>
  <si>
    <t>P-2026-04-0109</t>
  </si>
  <si>
    <t>1667.4</t>
  </si>
  <si>
    <t>P-2026-04-0110</t>
  </si>
  <si>
    <t>14374.6</t>
  </si>
  <si>
    <t>10868.6</t>
  </si>
  <si>
    <t>12055.5</t>
  </si>
  <si>
    <t>P-2026-04-0111</t>
  </si>
  <si>
    <t>234.6</t>
  </si>
  <si>
    <t>1718.7</t>
  </si>
  <si>
    <t>471.8</t>
  </si>
  <si>
    <t>234.3</t>
  </si>
  <si>
    <t>P-2026-04-0112</t>
  </si>
  <si>
    <t>14435.4</t>
  </si>
  <si>
    <t>11685.8</t>
  </si>
  <si>
    <t>P-2026-04-0113</t>
  </si>
  <si>
    <t>11393.2</t>
  </si>
  <si>
    <t>10172.5</t>
  </si>
  <si>
    <t>1220.7</t>
  </si>
  <si>
    <t>P-2026-04-0114</t>
  </si>
  <si>
    <t>539.4</t>
  </si>
  <si>
    <t>P-2026-04-0115</t>
  </si>
  <si>
    <t>10571.4</t>
  </si>
  <si>
    <t>1132.5</t>
  </si>
  <si>
    <t>P-2026-04-0116</t>
  </si>
  <si>
    <t>60404.4</t>
  </si>
  <si>
    <t>47460.6</t>
  </si>
  <si>
    <t>12943.8</t>
  </si>
  <si>
    <t>60400.2</t>
  </si>
  <si>
    <t>47457.3</t>
  </si>
  <si>
    <t>12942.9</t>
  </si>
  <si>
    <t>P-2026-04-0117</t>
  </si>
  <si>
    <t>823.2</t>
  </si>
  <si>
    <t>666.4</t>
  </si>
  <si>
    <t>156.8</t>
  </si>
  <si>
    <t>P-2026-04-0118</t>
  </si>
  <si>
    <t>1108.8</t>
  </si>
  <si>
    <t>897.6</t>
  </si>
  <si>
    <t>211.2</t>
  </si>
  <si>
    <t>P-2026-04-0119</t>
  </si>
  <si>
    <t>18146.8</t>
  </si>
  <si>
    <t>16202.5</t>
  </si>
  <si>
    <t>P-2026-04-0120</t>
  </si>
  <si>
    <t>12005.5</t>
  </si>
  <si>
    <t>P-2026-04-0121</t>
  </si>
  <si>
    <t>705.6</t>
  </si>
  <si>
    <t>396.9</t>
  </si>
  <si>
    <t>P-2026-04-0122</t>
  </si>
  <si>
    <t>866.6</t>
  </si>
  <si>
    <t>431.4</t>
  </si>
  <si>
    <t>P-2026-04-0123</t>
  </si>
  <si>
    <t>561.6</t>
  </si>
  <si>
    <t>998.4</t>
  </si>
  <si>
    <t>P-2026-04-0124</t>
  </si>
  <si>
    <t>21856.8</t>
  </si>
  <si>
    <t>17693.6</t>
  </si>
  <si>
    <t>21852.6</t>
  </si>
  <si>
    <t>17690.2</t>
  </si>
  <si>
    <t>P-2026-04-0125</t>
  </si>
  <si>
    <t>P-2026-04-0126</t>
  </si>
  <si>
    <t>115252.8</t>
  </si>
  <si>
    <t>89764.2</t>
  </si>
  <si>
    <t>25488.6</t>
  </si>
  <si>
    <t>P-2026-04-0127</t>
  </si>
  <si>
    <t>14789.6</t>
  </si>
  <si>
    <t>1584.6</t>
  </si>
  <si>
    <t>P-2026-04-0128</t>
  </si>
  <si>
    <t>850.5</t>
  </si>
  <si>
    <t>P-2026-04-0129</t>
  </si>
  <si>
    <t>628.8</t>
  </si>
  <si>
    <t>711.2</t>
  </si>
  <si>
    <t>P-2026-04-0130</t>
  </si>
  <si>
    <t>533.4</t>
  </si>
  <si>
    <t>265.5</t>
  </si>
  <si>
    <t>P-2026-04-0131</t>
  </si>
  <si>
    <t>900.8</t>
  </si>
  <si>
    <t>1017.8</t>
  </si>
  <si>
    <t>P-2026-04-0132</t>
  </si>
  <si>
    <t>11260.2</t>
  </si>
  <si>
    <t>11261.6</t>
  </si>
  <si>
    <t>1206.6</t>
  </si>
  <si>
    <t>P-2026-04-0133</t>
  </si>
  <si>
    <t>4158.15</t>
  </si>
  <si>
    <t>802.45</t>
  </si>
  <si>
    <t>P-2026-04-0134</t>
  </si>
  <si>
    <t>11495.4</t>
  </si>
  <si>
    <t>P-2026-04-0135</t>
  </si>
  <si>
    <t>319004.6</t>
  </si>
  <si>
    <t>241198.6</t>
  </si>
  <si>
    <t>P-2026-04-0136</t>
  </si>
  <si>
    <t>626.1</t>
  </si>
  <si>
    <t>P-2026-04-0137</t>
  </si>
  <si>
    <t>1472.8</t>
  </si>
  <si>
    <t>1301.6</t>
  </si>
  <si>
    <t>P-2026-04-0138</t>
  </si>
  <si>
    <t>99582.6</t>
  </si>
  <si>
    <t>27336.4</t>
  </si>
  <si>
    <t>P-2026-04-0139</t>
  </si>
  <si>
    <t>1346.4</t>
  </si>
  <si>
    <t>1152.9</t>
  </si>
  <si>
    <t>1153.8</t>
  </si>
  <si>
    <t>P-2026-04-0140</t>
  </si>
  <si>
    <t>1762.2</t>
  </si>
  <si>
    <t>P-2026-04-0141</t>
  </si>
  <si>
    <t>26678.4</t>
  </si>
  <si>
    <t>20961.6</t>
  </si>
  <si>
    <t>P-2026-04-0142</t>
  </si>
  <si>
    <t>1684.2</t>
  </si>
  <si>
    <t>1363.4</t>
  </si>
  <si>
    <t>320.8</t>
  </si>
  <si>
    <t>1683.5</t>
  </si>
  <si>
    <t>1320.9</t>
  </si>
  <si>
    <t>362.6</t>
  </si>
  <si>
    <t>P-2026-04-0143</t>
  </si>
  <si>
    <t>977.2</t>
  </si>
  <si>
    <t>872.5</t>
  </si>
  <si>
    <t>104.7</t>
  </si>
  <si>
    <t>974.4</t>
  </si>
  <si>
    <t>788.8</t>
  </si>
  <si>
    <t>185.6</t>
  </si>
  <si>
    <t>P-2026-04-0144</t>
  </si>
  <si>
    <t>48743.5</t>
  </si>
  <si>
    <t>38244.9</t>
  </si>
  <si>
    <t>10498.6</t>
  </si>
  <si>
    <t>48749.4</t>
  </si>
  <si>
    <t>39463.8</t>
  </si>
  <si>
    <t>P-2026-04-0145</t>
  </si>
  <si>
    <t>1139.6</t>
  </si>
  <si>
    <t>1557.1</t>
  </si>
  <si>
    <t>P-2026-04-0146</t>
  </si>
  <si>
    <t>1478.4</t>
  </si>
  <si>
    <t>1196.8</t>
  </si>
  <si>
    <t>281.6</t>
  </si>
  <si>
    <t>1475.6</t>
  </si>
  <si>
    <t>1317.5</t>
  </si>
  <si>
    <t>158.1</t>
  </si>
  <si>
    <t>1474.2</t>
  </si>
  <si>
    <t>1193.4</t>
  </si>
  <si>
    <t>280.8</t>
  </si>
  <si>
    <t>P-2026-04-0147</t>
  </si>
  <si>
    <t>942.6</t>
  </si>
  <si>
    <t>1895.6</t>
  </si>
  <si>
    <t>P-2026-04-0148</t>
  </si>
  <si>
    <t>28501.2</t>
  </si>
  <si>
    <t>23072.4</t>
  </si>
  <si>
    <t>P-2026-04-0149</t>
  </si>
  <si>
    <t>1425.2</t>
  </si>
  <si>
    <t>1272.5</t>
  </si>
  <si>
    <t>152.7</t>
  </si>
  <si>
    <t>P-2026-04-0150</t>
  </si>
  <si>
    <t>601.5</t>
  </si>
  <si>
    <t>1069.6</t>
  </si>
  <si>
    <t>P-2026-04-0151</t>
  </si>
  <si>
    <t>P-2026-04-0152</t>
  </si>
  <si>
    <t>918.4</t>
  </si>
  <si>
    <t>98.4</t>
  </si>
  <si>
    <t>724.2</t>
  </si>
  <si>
    <t>198.8</t>
  </si>
  <si>
    <t>P-2026-04-0153</t>
  </si>
  <si>
    <t>16707.6</t>
  </si>
  <si>
    <t>13012.65</t>
  </si>
  <si>
    <t>3694.95</t>
  </si>
  <si>
    <t>P-2026-04-0154</t>
  </si>
  <si>
    <t>15678.6</t>
  </si>
  <si>
    <t>12692.2</t>
  </si>
  <si>
    <t>P-2026-04-0155</t>
  </si>
  <si>
    <t>16132.2</t>
  </si>
  <si>
    <t>13059.4</t>
  </si>
  <si>
    <t>P-2026-04-0156</t>
  </si>
  <si>
    <t>92901.6</t>
  </si>
  <si>
    <t>77873.4</t>
  </si>
  <si>
    <t>15028.2</t>
  </si>
  <si>
    <t>P-2026-04-0157</t>
  </si>
  <si>
    <t>1478.7</t>
  </si>
  <si>
    <t>P-2026-04-0158</t>
  </si>
  <si>
    <t>818.7</t>
  </si>
  <si>
    <t>P-2026-04-0159</t>
  </si>
  <si>
    <t>512.6</t>
  </si>
  <si>
    <t>513.15</t>
  </si>
  <si>
    <t>P-2026-04-0160</t>
  </si>
  <si>
    <t>21612.5</t>
  </si>
  <si>
    <t>16957.5</t>
  </si>
  <si>
    <t>21613.2</t>
  </si>
  <si>
    <t>19297.5</t>
  </si>
  <si>
    <t>P-2026-04-0161</t>
  </si>
  <si>
    <t>P-2026-04-0162</t>
  </si>
  <si>
    <t>10361.4</t>
  </si>
  <si>
    <t>10365.6</t>
  </si>
  <si>
    <t>1110.6</t>
  </si>
  <si>
    <t>P-2026-04-0163</t>
  </si>
  <si>
    <t>P-2026-04-0164</t>
  </si>
  <si>
    <t>13448.4</t>
  </si>
  <si>
    <t>10886.8</t>
  </si>
  <si>
    <t>P-2026-04-0165</t>
  </si>
  <si>
    <t>58270.8</t>
  </si>
  <si>
    <t>45784.2</t>
  </si>
  <si>
    <t>12486.6</t>
  </si>
  <si>
    <t>58269.2</t>
  </si>
  <si>
    <t>43701.9</t>
  </si>
  <si>
    <t>14567.3</t>
  </si>
  <si>
    <t>P-2026-04-0166</t>
  </si>
  <si>
    <t>49068.5</t>
  </si>
  <si>
    <t>38499.9</t>
  </si>
  <si>
    <t>10568.6</t>
  </si>
  <si>
    <t>P-2026-04-0167</t>
  </si>
  <si>
    <t>1029.6</t>
  </si>
  <si>
    <t>P-2026-04-0168</t>
  </si>
  <si>
    <t>455.7</t>
  </si>
  <si>
    <t>P-2026-04-0169</t>
  </si>
  <si>
    <t>587.1</t>
  </si>
  <si>
    <t>586.8</t>
  </si>
  <si>
    <t>P-2026-04-0170</t>
  </si>
  <si>
    <t>1768.7</t>
  </si>
  <si>
    <t>1293.6</t>
  </si>
  <si>
    <t>P-2026-04-0171</t>
  </si>
  <si>
    <t>12974.4</t>
  </si>
  <si>
    <t>10875.6</t>
  </si>
  <si>
    <t>10872.75</t>
  </si>
  <si>
    <t>2098.25</t>
  </si>
  <si>
    <t>P-2026-04-0172</t>
  </si>
  <si>
    <t>3300.75</t>
  </si>
  <si>
    <t>937.25</t>
  </si>
  <si>
    <t>686.4</t>
  </si>
  <si>
    <t>P-2026-04-0173</t>
  </si>
  <si>
    <t>P-2026-04-0174</t>
  </si>
  <si>
    <t>432.6</t>
  </si>
  <si>
    <t>869.4</t>
  </si>
  <si>
    <t>432.3</t>
  </si>
  <si>
    <t>P-2026-04-0175</t>
  </si>
  <si>
    <t>875.1</t>
  </si>
  <si>
    <t>P-2026-04-0176</t>
  </si>
  <si>
    <t>11410.4</t>
  </si>
  <si>
    <t>1845.8</t>
  </si>
  <si>
    <t>11408.8</t>
  </si>
  <si>
    <t>P-2026-04-0177</t>
  </si>
  <si>
    <t>22033.2</t>
  </si>
  <si>
    <t>17836.4</t>
  </si>
  <si>
    <t>P-2026-04-0178</t>
  </si>
  <si>
    <t>1681.3</t>
  </si>
  <si>
    <t>P-2026-04-0179</t>
  </si>
  <si>
    <t>73849.2</t>
  </si>
  <si>
    <t>55837.2</t>
  </si>
  <si>
    <t>73857.4</t>
  </si>
  <si>
    <t>55843.4</t>
  </si>
  <si>
    <t>P-2026-04-0180</t>
  </si>
  <si>
    <t>48844.4</t>
  </si>
  <si>
    <t>36633.3</t>
  </si>
  <si>
    <t>12211.1</t>
  </si>
  <si>
    <t>48841.8</t>
  </si>
  <si>
    <t>38375.7</t>
  </si>
  <si>
    <t>10466.1</t>
  </si>
  <si>
    <t>P-2026-04-0181</t>
  </si>
  <si>
    <t>P-2026-04-0182</t>
  </si>
  <si>
    <t>1402.4</t>
  </si>
  <si>
    <t>1403.2</t>
  </si>
  <si>
    <t>P-2026-04-0183</t>
  </si>
  <si>
    <t>P-2026-04-0184</t>
  </si>
  <si>
    <t>658.4</t>
  </si>
  <si>
    <t>657.6</t>
  </si>
  <si>
    <t>370.2</t>
  </si>
  <si>
    <t>P-2026-04-0185</t>
  </si>
  <si>
    <t>41491.8</t>
  </si>
  <si>
    <t>33588.6</t>
  </si>
  <si>
    <t>P-2026-04-0186</t>
  </si>
  <si>
    <t>470.7</t>
  </si>
  <si>
    <t>P-2026-04-0187</t>
  </si>
  <si>
    <t>P-2026-04-0188</t>
  </si>
  <si>
    <t>11390.4</t>
  </si>
  <si>
    <t>P-2026-04-0189</t>
  </si>
  <si>
    <t>P-2026-04-0190</t>
  </si>
  <si>
    <t>16367.4</t>
  </si>
  <si>
    <t>12860.1</t>
  </si>
  <si>
    <t>P-2026-04-0191</t>
  </si>
  <si>
    <t>1607.2</t>
  </si>
  <si>
    <t>172.2</t>
  </si>
  <si>
    <t>1604.4</t>
  </si>
  <si>
    <t>1432.5</t>
  </si>
  <si>
    <t>171.9</t>
  </si>
  <si>
    <t>P-2026-04-0192</t>
  </si>
  <si>
    <t>25194.4</t>
  </si>
  <si>
    <t>25191.6</t>
  </si>
  <si>
    <t>20393.2</t>
  </si>
  <si>
    <t>P-2026-04-0193</t>
  </si>
  <si>
    <t>P-2026-04-0194</t>
  </si>
  <si>
    <t>10137.5</t>
  </si>
  <si>
    <t>1216.5</t>
  </si>
  <si>
    <t>P-2026-04-0195</t>
  </si>
  <si>
    <t>740.7</t>
  </si>
  <si>
    <t>P-2026-04-0196</t>
  </si>
  <si>
    <t>13494.6</t>
  </si>
  <si>
    <t>11311.65</t>
  </si>
  <si>
    <t>2182.95</t>
  </si>
  <si>
    <t>P-2026-04-0197</t>
  </si>
  <si>
    <t>10253.6</t>
  </si>
  <si>
    <t>1098.6</t>
  </si>
  <si>
    <t>10256.4</t>
  </si>
  <si>
    <t>10250.5</t>
  </si>
  <si>
    <t>P-2026-04-0198</t>
  </si>
  <si>
    <t>31470.4</t>
  </si>
  <si>
    <t>24510.6</t>
  </si>
  <si>
    <t>P-2026-04-0199</t>
  </si>
  <si>
    <t>645.6</t>
  </si>
  <si>
    <t>644.8</t>
  </si>
  <si>
    <t>P-2026-04-0200</t>
  </si>
  <si>
    <t>398.1</t>
  </si>
  <si>
    <t>800.8</t>
  </si>
  <si>
    <t>P-2026-05-0201</t>
  </si>
  <si>
    <t>P-2026-05-0202</t>
  </si>
  <si>
    <t>54529.2</t>
  </si>
  <si>
    <t>45708.3</t>
  </si>
  <si>
    <t>P-2026-05-0203</t>
  </si>
  <si>
    <t>1409.6</t>
  </si>
  <si>
    <t>1410.4</t>
  </si>
  <si>
    <t>P-2026-05-0204</t>
  </si>
  <si>
    <t>885.6</t>
  </si>
  <si>
    <t>P-2026-05-0205</t>
  </si>
  <si>
    <t>795.6</t>
  </si>
  <si>
    <t>218.4</t>
  </si>
  <si>
    <t>1016.4</t>
  </si>
  <si>
    <t>822.8</t>
  </si>
  <si>
    <t>193.6</t>
  </si>
  <si>
    <t>P-2026-05-0206</t>
  </si>
  <si>
    <t>12412.4</t>
  </si>
  <si>
    <t>11082.5</t>
  </si>
  <si>
    <t>1329.9</t>
  </si>
  <si>
    <t>P-2026-05-0207</t>
  </si>
  <si>
    <t>19467.5</t>
  </si>
  <si>
    <t>15274.5</t>
  </si>
  <si>
    <t>P-2026-05-0208</t>
  </si>
  <si>
    <t>3371.55</t>
  </si>
  <si>
    <t>650.65</t>
  </si>
  <si>
    <t>P-2026-05-0209</t>
  </si>
  <si>
    <t>988.4</t>
  </si>
  <si>
    <t>882.5</t>
  </si>
  <si>
    <t>105.9</t>
  </si>
  <si>
    <t>775.2</t>
  </si>
  <si>
    <t>212.8</t>
  </si>
  <si>
    <t>991.2</t>
  </si>
  <si>
    <t>106.2</t>
  </si>
  <si>
    <t>P-2026-05-0210</t>
  </si>
  <si>
    <t>753.1</t>
  </si>
  <si>
    <t>751.4</t>
  </si>
  <si>
    <t>P-2026-05-0211</t>
  </si>
  <si>
    <t>1111.6</t>
  </si>
  <si>
    <t>P-2026-05-0212</t>
  </si>
  <si>
    <t>51475.5</t>
  </si>
  <si>
    <t>14616.5</t>
  </si>
  <si>
    <t>P-2026-05-0213</t>
  </si>
  <si>
    <t>18704.4</t>
  </si>
  <si>
    <t>14567.85</t>
  </si>
  <si>
    <t>4136.55</t>
  </si>
  <si>
    <t>P-2026-05-0214</t>
  </si>
  <si>
    <t>30336.6</t>
  </si>
  <si>
    <t>24558.2</t>
  </si>
  <si>
    <t>P-2026-05-0215</t>
  </si>
  <si>
    <t>47919.6</t>
  </si>
  <si>
    <t>13154.4</t>
  </si>
  <si>
    <t>61073.6</t>
  </si>
  <si>
    <t>P-2026-05-0216</t>
  </si>
  <si>
    <t>933.9</t>
  </si>
  <si>
    <t>P-2026-05-0217</t>
  </si>
  <si>
    <t>4329.15</t>
  </si>
  <si>
    <t>835.45</t>
  </si>
  <si>
    <t>834.9</t>
  </si>
  <si>
    <t>P-2026-05-0218</t>
  </si>
  <si>
    <t>663.2</t>
  </si>
  <si>
    <t>P-2026-05-0219</t>
  </si>
  <si>
    <t>258564.8</t>
  </si>
  <si>
    <t>201382.2</t>
  </si>
  <si>
    <t>57182.6</t>
  </si>
  <si>
    <t>P-2026-05-0220</t>
  </si>
  <si>
    <t>46049.6</t>
  </si>
  <si>
    <t>34537.2</t>
  </si>
  <si>
    <t>11512.4</t>
  </si>
  <si>
    <t>46056.4</t>
  </si>
  <si>
    <t>34542.3</t>
  </si>
  <si>
    <t>11514.1</t>
  </si>
  <si>
    <t>P-2026-05-0221</t>
  </si>
  <si>
    <t>1856.4</t>
  </si>
  <si>
    <t>509.6</t>
  </si>
  <si>
    <t>253.2</t>
  </si>
  <si>
    <t>P-2026-05-0222</t>
  </si>
  <si>
    <t>47051.6</t>
  </si>
  <si>
    <t>35575.6</t>
  </si>
  <si>
    <t>P-2026-05-0223</t>
  </si>
  <si>
    <t>P-2026-05-0224</t>
  </si>
  <si>
    <t>867.3</t>
  </si>
  <si>
    <t>P-2026-05-0225</t>
  </si>
  <si>
    <t>1677.9</t>
  </si>
  <si>
    <t>460.6</t>
  </si>
  <si>
    <t>229.2</t>
  </si>
  <si>
    <t>P-2026-05-0226</t>
  </si>
  <si>
    <t>580.8</t>
  </si>
  <si>
    <t>581.6</t>
  </si>
  <si>
    <t>P-2026-05-0227</t>
  </si>
  <si>
    <t>19769.4</t>
  </si>
  <si>
    <t>16003.8</t>
  </si>
  <si>
    <t>P-2026-05-0228</t>
  </si>
  <si>
    <t>1113.5</t>
  </si>
  <si>
    <t>P-2026-05-0229</t>
  </si>
  <si>
    <t>P-2026-05-0230</t>
  </si>
  <si>
    <t>70944.4</t>
  </si>
  <si>
    <t>53208.3</t>
  </si>
  <si>
    <t>17736.1</t>
  </si>
  <si>
    <t>70950.6</t>
  </si>
  <si>
    <t>55746.9</t>
  </si>
  <si>
    <t>15203.7</t>
  </si>
  <si>
    <t>P-2026-05-0231</t>
  </si>
  <si>
    <t>68860.2</t>
  </si>
  <si>
    <t>18902.8</t>
  </si>
  <si>
    <t>P-2026-05-0232</t>
  </si>
  <si>
    <t>293.1</t>
  </si>
  <si>
    <t>292.8</t>
  </si>
  <si>
    <t>P-2026-05-0233</t>
  </si>
  <si>
    <t>68037.4</t>
  </si>
  <si>
    <t>57031.35</t>
  </si>
  <si>
    <t>11006.05</t>
  </si>
  <si>
    <t>P-2026-05-0234</t>
  </si>
  <si>
    <t>541.8</t>
  </si>
  <si>
    <t>963.2</t>
  </si>
  <si>
    <t>P-2026-05-0235</t>
  </si>
  <si>
    <t>1106.3</t>
  </si>
  <si>
    <t>808.5</t>
  </si>
  <si>
    <t>P-2026-05-0236</t>
  </si>
  <si>
    <t>812.7</t>
  </si>
  <si>
    <t>P-2026-05-0237</t>
  </si>
  <si>
    <t>69924.4</t>
  </si>
  <si>
    <t>54460.35</t>
  </si>
  <si>
    <t>15464.05</t>
  </si>
  <si>
    <t>69921.4</t>
  </si>
  <si>
    <t>52867.4</t>
  </si>
  <si>
    <t>P-2026-05-0238</t>
  </si>
  <si>
    <t>38462.5</t>
  </si>
  <si>
    <t>43080.8</t>
  </si>
  <si>
    <t>P-2026-05-0239</t>
  </si>
  <si>
    <t>76171.2</t>
  </si>
  <si>
    <t>P-2026-05-0240</t>
  </si>
  <si>
    <t>1529.6</t>
  </si>
  <si>
    <t>P-2026-05-0241</t>
  </si>
  <si>
    <t>23186.8</t>
  </si>
  <si>
    <t>18058.95</t>
  </si>
  <si>
    <t>5127.85</t>
  </si>
  <si>
    <t>P-2026-05-0242</t>
  </si>
  <si>
    <t>20709.4</t>
  </si>
  <si>
    <t>17359.35</t>
  </si>
  <si>
    <t>20712.8</t>
  </si>
  <si>
    <t>17362.2</t>
  </si>
  <si>
    <t>P-2026-05-0243</t>
  </si>
  <si>
    <t>1870.4</t>
  </si>
  <si>
    <t>200.4</t>
  </si>
  <si>
    <t>P-2026-05-0244</t>
  </si>
  <si>
    <t>P-2026-05-0245</t>
  </si>
  <si>
    <t>40625.2</t>
  </si>
  <si>
    <t>36272.5</t>
  </si>
  <si>
    <t>P-2026-05-0246</t>
  </si>
  <si>
    <t>14335.5</t>
  </si>
  <si>
    <t>17098.6</t>
  </si>
  <si>
    <t>14332.65</t>
  </si>
  <si>
    <t>2765.95</t>
  </si>
  <si>
    <t>P-2026-05-0247</t>
  </si>
  <si>
    <t>75835.2</t>
  </si>
  <si>
    <t>61390.4</t>
  </si>
  <si>
    <t>14444.8</t>
  </si>
  <si>
    <t>P-2026-05-0248</t>
  </si>
  <si>
    <t>36275.4</t>
  </si>
  <si>
    <t>29365.8</t>
  </si>
  <si>
    <t>P-2026-05-0249</t>
  </si>
  <si>
    <t>664.8</t>
  </si>
  <si>
    <t>664.5</t>
  </si>
  <si>
    <t>P-2026-05-0250</t>
  </si>
  <si>
    <t>710.4</t>
  </si>
  <si>
    <t>399.6</t>
  </si>
  <si>
    <t>399.9</t>
  </si>
  <si>
    <t>P-2026-05-0251</t>
  </si>
  <si>
    <t>758.7</t>
  </si>
  <si>
    <t>1524.6</t>
  </si>
  <si>
    <t>P-2026-05-0252</t>
  </si>
  <si>
    <t>633.6</t>
  </si>
  <si>
    <t>1126.4</t>
  </si>
  <si>
    <t>P-2026-05-0253</t>
  </si>
  <si>
    <t>308.4</t>
  </si>
  <si>
    <t>P-2026-05-0254</t>
  </si>
  <si>
    <t>1185.6</t>
  </si>
  <si>
    <t>P-2026-05-0255</t>
  </si>
  <si>
    <t>P-2026-05-0256</t>
  </si>
  <si>
    <t>11061.8</t>
  </si>
  <si>
    <t>11063.6</t>
  </si>
  <si>
    <t>1789.7</t>
  </si>
  <si>
    <t>P-2026-05-0257</t>
  </si>
  <si>
    <t>849.8</t>
  </si>
  <si>
    <t>P-2026-05-0258</t>
  </si>
  <si>
    <t>743.4</t>
  </si>
  <si>
    <t>743.7</t>
  </si>
  <si>
    <t>P-2026-05-0259</t>
  </si>
  <si>
    <t>10441.6</t>
  </si>
  <si>
    <t>10441.4</t>
  </si>
  <si>
    <t>8752.35</t>
  </si>
  <si>
    <t>1689.05</t>
  </si>
  <si>
    <t>10438.6</t>
  </si>
  <si>
    <t>P-2026-05-0260</t>
  </si>
  <si>
    <t>663.6</t>
  </si>
  <si>
    <t>329.7</t>
  </si>
  <si>
    <t>P-2026-05-0261</t>
  </si>
  <si>
    <t>10049.2</t>
  </si>
  <si>
    <t>1076.7</t>
  </si>
  <si>
    <t>10046.4</t>
  </si>
  <si>
    <t>P-2026-05-0262</t>
  </si>
  <si>
    <t>17687.6</t>
  </si>
  <si>
    <t>15792.5</t>
  </si>
  <si>
    <t>1895.1</t>
  </si>
  <si>
    <t>17686.5</t>
  </si>
  <si>
    <t>13877.1</t>
  </si>
  <si>
    <t>17686.2</t>
  </si>
  <si>
    <t>14317.4</t>
  </si>
  <si>
    <t>P-2026-05-0263</t>
  </si>
  <si>
    <t>345.3</t>
  </si>
  <si>
    <t>613.6</t>
  </si>
  <si>
    <t>P-2026-05-0264</t>
  </si>
  <si>
    <t>307.5</t>
  </si>
  <si>
    <t>547.2</t>
  </si>
  <si>
    <t>P-2026-05-0265</t>
  </si>
  <si>
    <t>625.6</t>
  </si>
  <si>
    <t>457.6</t>
  </si>
  <si>
    <t>P-2026-05-0266</t>
  </si>
  <si>
    <t>12049.8</t>
  </si>
  <si>
    <t>P-2026-05-0267</t>
  </si>
  <si>
    <t>704.4</t>
  </si>
  <si>
    <t>1416.8</t>
  </si>
  <si>
    <t>P-2026-05-0268</t>
  </si>
  <si>
    <t>P-2026-05-0269</t>
  </si>
  <si>
    <t>744.9</t>
  </si>
  <si>
    <t>P-2026-05-0270</t>
  </si>
  <si>
    <t>1716.3</t>
  </si>
  <si>
    <t>P-2026-05-0271</t>
  </si>
  <si>
    <t>20434.5</t>
  </si>
  <si>
    <t>P-2026-05-0272</t>
  </si>
  <si>
    <t>P-2026-05-0273</t>
  </si>
  <si>
    <t>12328.4</t>
  </si>
  <si>
    <t>12331.2</t>
  </si>
  <si>
    <t>P-2026-05-0274</t>
  </si>
  <si>
    <t>30012.5</t>
  </si>
  <si>
    <t>P-2026-05-0275</t>
  </si>
  <si>
    <t>829.2</t>
  </si>
  <si>
    <t>P-2026-05-0276</t>
  </si>
  <si>
    <t>10342.8</t>
  </si>
  <si>
    <t>P-2026-05-0277</t>
  </si>
  <si>
    <t>1725.6</t>
  </si>
  <si>
    <t>P-2026-05-0278</t>
  </si>
  <si>
    <t>636.3</t>
  </si>
  <si>
    <t>764.1</t>
  </si>
  <si>
    <t>P-2026-05-0279</t>
  </si>
  <si>
    <t>1338.4</t>
  </si>
  <si>
    <t>665.7</t>
  </si>
  <si>
    <t>P-2026-05-0280</t>
  </si>
  <si>
    <t>34159.8</t>
  </si>
  <si>
    <t>28633.95</t>
  </si>
  <si>
    <t>5525.85</t>
  </si>
  <si>
    <t>P-2026-05-0281</t>
  </si>
  <si>
    <t>559.8</t>
  </si>
  <si>
    <t>1125.6</t>
  </si>
  <si>
    <t>P-2026-05-0282</t>
  </si>
  <si>
    <t>33234.5</t>
  </si>
  <si>
    <t>26076.3</t>
  </si>
  <si>
    <t>P-2026-05-0283</t>
  </si>
  <si>
    <t>610.4</t>
  </si>
  <si>
    <t>343.2</t>
  </si>
  <si>
    <t>690.2</t>
  </si>
  <si>
    <t>P-2026-05-0284</t>
  </si>
  <si>
    <t>16266.6</t>
  </si>
  <si>
    <t>13168.2</t>
  </si>
  <si>
    <t>16270.8</t>
  </si>
  <si>
    <t>13171.6</t>
  </si>
  <si>
    <t>P-2026-05-0285</t>
  </si>
  <si>
    <t>260416.8</t>
  </si>
  <si>
    <t>210813.6</t>
  </si>
  <si>
    <t>49603.2</t>
  </si>
  <si>
    <t>P-2026-05-0286</t>
  </si>
  <si>
    <t>1356.6</t>
  </si>
  <si>
    <t>674.7</t>
  </si>
  <si>
    <t>P-2026-05-0287</t>
  </si>
  <si>
    <t>341.7</t>
  </si>
  <si>
    <t>607.2</t>
  </si>
  <si>
    <t>P-2026-05-0288</t>
  </si>
  <si>
    <t>1285.2</t>
  </si>
  <si>
    <t>352.8</t>
  </si>
  <si>
    <t>1462.5</t>
  </si>
  <si>
    <t>175.5</t>
  </si>
  <si>
    <t>P-2026-05-0289</t>
  </si>
  <si>
    <t>41935.6</t>
  </si>
  <si>
    <t>31451.7</t>
  </si>
  <si>
    <t>10483.9</t>
  </si>
  <si>
    <t>41928.6</t>
  </si>
  <si>
    <t>32943.9</t>
  </si>
  <si>
    <t>P-2026-05-0290</t>
  </si>
  <si>
    <t>764.4</t>
  </si>
  <si>
    <t>676.8</t>
  </si>
  <si>
    <t>P-2026-05-0291</t>
  </si>
  <si>
    <t>1555.2</t>
  </si>
  <si>
    <t>P-2026-05-0292</t>
  </si>
  <si>
    <t>10018.4</t>
  </si>
  <si>
    <t>1073.4</t>
  </si>
  <si>
    <t>P-2026-05-0293</t>
  </si>
  <si>
    <t>702.9</t>
  </si>
  <si>
    <t>961.4</t>
  </si>
  <si>
    <t>P-2026-05-0294</t>
  </si>
  <si>
    <t>959.2</t>
  </si>
  <si>
    <t>P-2026-05-0295</t>
  </si>
  <si>
    <t>14616.6</t>
  </si>
  <si>
    <t>12252.15</t>
  </si>
  <si>
    <t>2364.45</t>
  </si>
  <si>
    <t>P-2026-05-0296</t>
  </si>
  <si>
    <t>1604.8</t>
  </si>
  <si>
    <t>1345.2</t>
  </si>
  <si>
    <t>259.6</t>
  </si>
  <si>
    <t>1215.2</t>
  </si>
  <si>
    <t>P-2026-05-0297</t>
  </si>
  <si>
    <t>15027.6</t>
  </si>
  <si>
    <t>12165.2</t>
  </si>
  <si>
    <t>15031.8</t>
  </si>
  <si>
    <t>12168.6</t>
  </si>
  <si>
    <t>P-2026-05-0298</t>
  </si>
  <si>
    <t>1548.4</t>
  </si>
  <si>
    <t>1382.5</t>
  </si>
  <si>
    <t>165.9</t>
  </si>
  <si>
    <t>1551.2</t>
  </si>
  <si>
    <t>166.2</t>
  </si>
  <si>
    <t>P-2026-05-0299</t>
  </si>
  <si>
    <t>557.6</t>
  </si>
  <si>
    <t>313.5</t>
  </si>
  <si>
    <t>P-2026-05-0300</t>
  </si>
  <si>
    <t>15022.8</t>
  </si>
  <si>
    <t>11700.45</t>
  </si>
  <si>
    <t>3322.35</t>
  </si>
  <si>
    <t>15017.6</t>
  </si>
  <si>
    <t>11696.4</t>
  </si>
  <si>
    <t>P-2026-05-0301</t>
  </si>
  <si>
    <t>34343.4</t>
  </si>
  <si>
    <t>27801.8</t>
  </si>
  <si>
    <t>26948.4</t>
  </si>
  <si>
    <t>P-2026-05-0302</t>
  </si>
  <si>
    <t>59060.4</t>
  </si>
  <si>
    <t>52732.5</t>
  </si>
  <si>
    <t>P-2026-05-0303</t>
  </si>
  <si>
    <t>21590.8</t>
  </si>
  <si>
    <t>19277.5</t>
  </si>
  <si>
    <t>21593.6</t>
  </si>
  <si>
    <t>P-2026-05-0304</t>
  </si>
  <si>
    <t>14036.4</t>
  </si>
  <si>
    <t>12532.5</t>
  </si>
  <si>
    <t>1503.9</t>
  </si>
  <si>
    <t>P-2026-05-0305</t>
  </si>
  <si>
    <t>581.7</t>
  </si>
  <si>
    <t>P-2026-05-0306</t>
  </si>
  <si>
    <t>640.2</t>
  </si>
  <si>
    <t>640.5</t>
  </si>
  <si>
    <t>1286.6</t>
  </si>
  <si>
    <t>P-2026-05-0307</t>
  </si>
  <si>
    <t>683.2</t>
  </si>
  <si>
    <t>771.4</t>
  </si>
  <si>
    <t>P-2026-05-0308</t>
  </si>
  <si>
    <t>6181.65</t>
  </si>
  <si>
    <t>1192.95</t>
  </si>
  <si>
    <t>1193.5</t>
  </si>
  <si>
    <t>P-2026-05-0309</t>
  </si>
  <si>
    <t>1720.4</t>
  </si>
  <si>
    <t>1442.1</t>
  </si>
  <si>
    <t>278.3</t>
  </si>
  <si>
    <t>1721.2</t>
  </si>
  <si>
    <t>1340.55</t>
  </si>
  <si>
    <t>380.65</t>
  </si>
  <si>
    <t>P-2026-05-0310</t>
  </si>
  <si>
    <t>1869.6</t>
  </si>
  <si>
    <t>1413.6</t>
  </si>
  <si>
    <t>P-2026-05-0311</t>
  </si>
  <si>
    <t>45094.5</t>
  </si>
  <si>
    <t>12298.5</t>
  </si>
  <si>
    <t>P-2026-05-0312</t>
  </si>
  <si>
    <t>1092.8</t>
  </si>
  <si>
    <t>1093.6</t>
  </si>
  <si>
    <t>P-2026-05-0313</t>
  </si>
  <si>
    <t>646.8</t>
  </si>
  <si>
    <t>P-2026-05-0314</t>
  </si>
  <si>
    <t>562.4</t>
  </si>
  <si>
    <t>635.6</t>
  </si>
  <si>
    <t>P-2026-05-0315</t>
  </si>
  <si>
    <t>27749.4</t>
  </si>
  <si>
    <t>22463.8</t>
  </si>
  <si>
    <t>P-2026-05-0316</t>
  </si>
  <si>
    <t>889.6</t>
  </si>
  <si>
    <t>890.4</t>
  </si>
  <si>
    <t>P-2026-05-0317</t>
  </si>
  <si>
    <t>47596.6</t>
  </si>
  <si>
    <t>39897.15</t>
  </si>
  <si>
    <t>7699.45</t>
  </si>
  <si>
    <t>P-2026-05-0318</t>
  </si>
  <si>
    <t>18603.2</t>
  </si>
  <si>
    <t>P-2026-05-0319</t>
  </si>
  <si>
    <t>23137.5</t>
  </si>
  <si>
    <t>25911.2</t>
  </si>
  <si>
    <t>P-2026-05-0320</t>
  </si>
  <si>
    <t>377.3</t>
  </si>
  <si>
    <t>P-2026-05-0321</t>
  </si>
  <si>
    <t>1349.8</t>
  </si>
  <si>
    <t>317.6</t>
  </si>
  <si>
    <t>1670.5</t>
  </si>
  <si>
    <t>1310.7</t>
  </si>
  <si>
    <t>359.8</t>
  </si>
  <si>
    <t>1487.5</t>
  </si>
  <si>
    <t>178.5</t>
  </si>
  <si>
    <t>P-2026-05-0322</t>
  </si>
  <si>
    <t>851.2</t>
  </si>
  <si>
    <t>P-2026-05-0323</t>
  </si>
  <si>
    <t>10264.8</t>
  </si>
  <si>
    <t>1099.8</t>
  </si>
  <si>
    <t>P-2026-05-0324</t>
  </si>
  <si>
    <t>861.6</t>
  </si>
  <si>
    <t>P-2026-05-0325</t>
  </si>
  <si>
    <t>340.8</t>
  </si>
  <si>
    <t>605.6</t>
  </si>
  <si>
    <t>P-2026-05-0326</t>
  </si>
  <si>
    <t>1499.4</t>
  </si>
  <si>
    <t>746.4</t>
  </si>
  <si>
    <t>1327.2</t>
  </si>
  <si>
    <t>P-2026-05-0327</t>
  </si>
  <si>
    <t>1715.3</t>
  </si>
  <si>
    <t>P-2026-05-0328</t>
  </si>
  <si>
    <t>1065.9</t>
  </si>
  <si>
    <t>5520.45</t>
  </si>
  <si>
    <t>1065.35</t>
  </si>
  <si>
    <t>P-2026-05-0329</t>
  </si>
  <si>
    <t>56909.2</t>
  </si>
  <si>
    <t>42681.9</t>
  </si>
  <si>
    <t>14227.3</t>
  </si>
  <si>
    <t>P-2026-05-0330</t>
  </si>
  <si>
    <t>127459.5</t>
  </si>
  <si>
    <t>94684.2</t>
  </si>
  <si>
    <t>32775.3</t>
  </si>
  <si>
    <t>P-2026-05-0331</t>
  </si>
  <si>
    <t>19387.2</t>
  </si>
  <si>
    <t>17312.5</t>
  </si>
  <si>
    <t>P-2026-05-0332</t>
  </si>
  <si>
    <t>P-2026-05-0333</t>
  </si>
  <si>
    <t>1070.1</t>
  </si>
  <si>
    <t>P-2026-05-0334</t>
  </si>
  <si>
    <t>247.5</t>
  </si>
  <si>
    <t>P-2026-05-0335</t>
  </si>
  <si>
    <t>560.8</t>
  </si>
  <si>
    <t>P-2026-05-0336</t>
  </si>
  <si>
    <t>35347.2</t>
  </si>
  <si>
    <t>31562.5</t>
  </si>
  <si>
    <t>P-2026-05-0337</t>
  </si>
  <si>
    <t>1813.6</t>
  </si>
  <si>
    <t>P-2026-05-0338</t>
  </si>
  <si>
    <t>511.2</t>
  </si>
  <si>
    <t>287.1</t>
  </si>
  <si>
    <t>P-2026-05-0339</t>
  </si>
  <si>
    <t>18118.8</t>
  </si>
  <si>
    <t>16177.5</t>
  </si>
  <si>
    <t>P-2026-05-0340</t>
  </si>
  <si>
    <t>557.2</t>
  </si>
  <si>
    <t>497.5</t>
  </si>
  <si>
    <t>59.7</t>
  </si>
  <si>
    <t>552.5</t>
  </si>
  <si>
    <t>433.5</t>
  </si>
  <si>
    <t>558.6</t>
  </si>
  <si>
    <t>452.2</t>
  </si>
  <si>
    <t>106.4</t>
  </si>
  <si>
    <t>P-2026-05-0341</t>
  </si>
  <si>
    <t>870.4</t>
  </si>
  <si>
    <t>489.3</t>
  </si>
  <si>
    <t>P-2026-05-0342</t>
  </si>
  <si>
    <t>P-2026-05-0343</t>
  </si>
  <si>
    <t>1531.8</t>
  </si>
  <si>
    <t>P-2026-05-0344</t>
  </si>
  <si>
    <t>P-2026-05-0345</t>
  </si>
  <si>
    <t>27672.4</t>
  </si>
  <si>
    <t>24707.5</t>
  </si>
  <si>
    <t>27669.6</t>
  </si>
  <si>
    <t>22399.2</t>
  </si>
  <si>
    <t>27673.8</t>
  </si>
  <si>
    <t>22402.6</t>
  </si>
  <si>
    <t>P-2026-05-0346</t>
  </si>
  <si>
    <t>290.7</t>
  </si>
  <si>
    <t>P-2026-05-0347</t>
  </si>
  <si>
    <t>P-2026-05-0348</t>
  </si>
  <si>
    <t>10712.5</t>
  </si>
  <si>
    <t>1285.5</t>
  </si>
  <si>
    <t>P-2026-05-0349</t>
  </si>
  <si>
    <t>84350.6</t>
  </si>
  <si>
    <t>70705.65</t>
  </si>
  <si>
    <t>13644.95</t>
  </si>
  <si>
    <t>P-2026-05-0350</t>
  </si>
  <si>
    <t>738.9</t>
  </si>
  <si>
    <t>1485.4</t>
  </si>
  <si>
    <t>739.2</t>
  </si>
  <si>
    <t>P-2026-05-0351</t>
  </si>
  <si>
    <t>17530.8</t>
  </si>
  <si>
    <t>13774.2</t>
  </si>
  <si>
    <t>P-2026-05-0352</t>
  </si>
  <si>
    <t>14282.8</t>
  </si>
  <si>
    <t>12752.5</t>
  </si>
  <si>
    <t>1530.3</t>
  </si>
  <si>
    <t>14285.6</t>
  </si>
  <si>
    <t>1530.6</t>
  </si>
  <si>
    <t>P-2026-05-0353</t>
  </si>
  <si>
    <t>861.3</t>
  </si>
  <si>
    <t>718.2</t>
  </si>
  <si>
    <t>838.1</t>
  </si>
  <si>
    <t>P-2026-05-0354</t>
  </si>
  <si>
    <t>926.4</t>
  </si>
  <si>
    <t>521.1</t>
  </si>
  <si>
    <t>P-2026-05-0355</t>
  </si>
  <si>
    <t>272.7</t>
  </si>
  <si>
    <t>484.8</t>
  </si>
  <si>
    <t>P-2026-05-0356</t>
  </si>
  <si>
    <t>32558.4</t>
  </si>
  <si>
    <t>25581.6</t>
  </si>
  <si>
    <t>P-2026-05-0357</t>
  </si>
  <si>
    <t>11264.5</t>
  </si>
  <si>
    <t>11268.6</t>
  </si>
  <si>
    <t>11267.2</t>
  </si>
  <si>
    <t>1207.2</t>
  </si>
  <si>
    <t>P-2026-05-0358</t>
  </si>
  <si>
    <t>182117.6</t>
  </si>
  <si>
    <t>136588.2</t>
  </si>
  <si>
    <t>45529.4</t>
  </si>
  <si>
    <t>P-2026-05-0359</t>
  </si>
  <si>
    <t>41632.5</t>
  </si>
  <si>
    <t>32665.5</t>
  </si>
  <si>
    <t>P-2026-05-0360</t>
  </si>
  <si>
    <t>525.9</t>
  </si>
  <si>
    <t>934.4</t>
  </si>
  <si>
    <t>P-2026-05-0361</t>
  </si>
  <si>
    <t>451.2</t>
  </si>
  <si>
    <t>P-2026-05-0362</t>
  </si>
  <si>
    <t>1730.6</t>
  </si>
  <si>
    <t>407.2</t>
  </si>
  <si>
    <t>P-2026-05-0363</t>
  </si>
  <si>
    <t>912.8</t>
  </si>
  <si>
    <t>P-2026-05-0364</t>
  </si>
  <si>
    <t>11401.6</t>
  </si>
  <si>
    <t>1221.6</t>
  </si>
  <si>
    <t>11404.4</t>
  </si>
  <si>
    <t>10182.5</t>
  </si>
  <si>
    <t>1221.9</t>
  </si>
  <si>
    <t>P-2026-05-0365</t>
  </si>
  <si>
    <t>P-2026-05-0366</t>
  </si>
  <si>
    <t>776.8</t>
  </si>
  <si>
    <t>877.8</t>
  </si>
  <si>
    <t>P-2026-05-0367</t>
  </si>
  <si>
    <t>137302.2</t>
  </si>
  <si>
    <t>115091.55</t>
  </si>
  <si>
    <t>22210.65</t>
  </si>
  <si>
    <t>P-2026-05-0368</t>
  </si>
  <si>
    <t>35458.8</t>
  </si>
  <si>
    <t>27616.95</t>
  </si>
  <si>
    <t>7841.85</t>
  </si>
  <si>
    <t>29725.5</t>
  </si>
  <si>
    <t>P-2026-05-0369</t>
  </si>
  <si>
    <t>145254.8</t>
  </si>
  <si>
    <t>108941.1</t>
  </si>
  <si>
    <t>36313.7</t>
  </si>
  <si>
    <t>P-2026-05-0370</t>
  </si>
  <si>
    <t>22041.6</t>
  </si>
  <si>
    <t>17843.2</t>
  </si>
  <si>
    <t>22045.8</t>
  </si>
  <si>
    <t>17846.6</t>
  </si>
  <si>
    <t>P-2026-05-0371</t>
  </si>
  <si>
    <t>89464.2</t>
  </si>
  <si>
    <t>72423.4</t>
  </si>
  <si>
    <t>17040.8</t>
  </si>
  <si>
    <t>P-2026-05-0372</t>
  </si>
  <si>
    <t>56599.8</t>
  </si>
  <si>
    <t>15537.2</t>
  </si>
  <si>
    <t>72143.5</t>
  </si>
  <si>
    <t>56604.9</t>
  </si>
  <si>
    <t>15538.6</t>
  </si>
  <si>
    <t>72139.2</t>
  </si>
  <si>
    <t>58398.4</t>
  </si>
  <si>
    <t>13740.8</t>
  </si>
  <si>
    <t>P-2026-05-0373</t>
  </si>
  <si>
    <t>330.9</t>
  </si>
  <si>
    <t>P-2026-05-0374</t>
  </si>
  <si>
    <t>512.7</t>
  </si>
  <si>
    <t>1030.4</t>
  </si>
  <si>
    <t>911.2</t>
  </si>
  <si>
    <t>P-2026-05-0375</t>
  </si>
  <si>
    <t>4985.55</t>
  </si>
  <si>
    <t>1415.65</t>
  </si>
  <si>
    <t>P-2026-05-0376</t>
  </si>
  <si>
    <t>903.6</t>
  </si>
  <si>
    <t>903.9</t>
  </si>
  <si>
    <t>1817.2</t>
  </si>
  <si>
    <t>P-2026-05-0377</t>
  </si>
  <si>
    <t>1672.8</t>
  </si>
  <si>
    <t>459.2</t>
  </si>
  <si>
    <t>228.3</t>
  </si>
  <si>
    <t>P-2026-05-0378</t>
  </si>
  <si>
    <t>22780.8</t>
  </si>
  <si>
    <t>P-2026-05-0379</t>
  </si>
  <si>
    <t>655.2</t>
  </si>
  <si>
    <t>P-2026-05-0380</t>
  </si>
  <si>
    <t>1120.9</t>
  </si>
  <si>
    <t>P-2026-05-0381</t>
  </si>
  <si>
    <t>13926.4</t>
  </si>
  <si>
    <t>11673.6</t>
  </si>
  <si>
    <t>13925.6</t>
  </si>
  <si>
    <t>10845.9</t>
  </si>
  <si>
    <t>P-2026-05-0382</t>
  </si>
  <si>
    <t>1523.2</t>
  </si>
  <si>
    <t>757.2</t>
  </si>
  <si>
    <t>P-2026-05-0383</t>
  </si>
  <si>
    <t>320.1</t>
  </si>
  <si>
    <t>319.8</t>
  </si>
  <si>
    <t>642.6</t>
  </si>
  <si>
    <t>P-2026-05-0384</t>
  </si>
  <si>
    <t>33389.2</t>
  </si>
  <si>
    <t>26005.05</t>
  </si>
  <si>
    <t>7384.15</t>
  </si>
  <si>
    <t>P-2026-05-0385</t>
  </si>
  <si>
    <t>43831.2</t>
  </si>
  <si>
    <t>35482.4</t>
  </si>
  <si>
    <t>P-2026-05-0386</t>
  </si>
  <si>
    <t>1306.2</t>
  </si>
  <si>
    <t>649.8</t>
  </si>
  <si>
    <t>P-2026-05-0387</t>
  </si>
  <si>
    <t>492.6</t>
  </si>
  <si>
    <t>P-2026-05-0388</t>
  </si>
  <si>
    <t>13715.6</t>
  </si>
  <si>
    <t>11496.9</t>
  </si>
  <si>
    <t>P-2026-05-0389</t>
  </si>
  <si>
    <t>1605.4</t>
  </si>
  <si>
    <t>1174.8</t>
  </si>
  <si>
    <t>P-2026-05-0390</t>
  </si>
  <si>
    <t>P-2026-05-0391</t>
  </si>
  <si>
    <t>129648.4</t>
  </si>
  <si>
    <t>115757.5</t>
  </si>
  <si>
    <t>13890.9</t>
  </si>
  <si>
    <t>P-2026-05-0392</t>
  </si>
  <si>
    <t>14103.2</t>
  </si>
  <si>
    <t>10577.4</t>
  </si>
  <si>
    <t>P-2026-05-0393</t>
  </si>
  <si>
    <t>839.5</t>
  </si>
  <si>
    <t>2952.45</t>
  </si>
  <si>
    <t>838.35</t>
  </si>
  <si>
    <t>613.8</t>
  </si>
  <si>
    <t>P-2026-05-0394</t>
  </si>
  <si>
    <t>1064.1</t>
  </si>
  <si>
    <t>P-2026-05-0395</t>
  </si>
  <si>
    <t>929.1</t>
  </si>
  <si>
    <t>P-2026-05-0396</t>
  </si>
  <si>
    <t>4774.95</t>
  </si>
  <si>
    <t>1355.85</t>
  </si>
  <si>
    <t>P-2026-05-0397</t>
  </si>
  <si>
    <t>236.7</t>
  </si>
  <si>
    <t>1791.8</t>
  </si>
  <si>
    <t>421.6</t>
  </si>
  <si>
    <t>P-2026-05-0398</t>
  </si>
  <si>
    <t>26045.6</t>
  </si>
  <si>
    <t>P-2026-05-0399</t>
  </si>
  <si>
    <t>67594.8</t>
  </si>
  <si>
    <t>23398.2</t>
  </si>
  <si>
    <t>90997.6</t>
  </si>
  <si>
    <t>68248.2</t>
  </si>
  <si>
    <t>22749.4</t>
  </si>
  <si>
    <t>P-2026-05-0400</t>
  </si>
  <si>
    <t>576.8</t>
  </si>
  <si>
    <t>P-2026-05-0401</t>
  </si>
  <si>
    <t>1072.4</t>
  </si>
  <si>
    <t>P-2026-05-0402</t>
  </si>
  <si>
    <t>21262.5</t>
  </si>
  <si>
    <t>P-2026-05-0403</t>
  </si>
  <si>
    <t>1784.7</t>
  </si>
  <si>
    <t>1785.6</t>
  </si>
  <si>
    <t>P-2026-05-0404</t>
  </si>
  <si>
    <t>5447.25</t>
  </si>
  <si>
    <t>1546.75</t>
  </si>
  <si>
    <t>P-2026-05-0405</t>
  </si>
  <si>
    <t>840.6</t>
  </si>
  <si>
    <t>P-2026-05-0406</t>
  </si>
  <si>
    <t>1433.3</t>
  </si>
  <si>
    <t>P-2026-05-0407</t>
  </si>
  <si>
    <t>1497.6</t>
  </si>
  <si>
    <t>1166.4</t>
  </si>
  <si>
    <t>331.2</t>
  </si>
  <si>
    <t>1500.6</t>
  </si>
  <si>
    <t>1134.6</t>
  </si>
  <si>
    <t>P-2026-05-0408</t>
  </si>
  <si>
    <t>274.8</t>
  </si>
  <si>
    <t>488.8</t>
  </si>
  <si>
    <t>P-2026-05-0409</t>
  </si>
  <si>
    <t>1687.2</t>
  </si>
  <si>
    <t>325.6</t>
  </si>
  <si>
    <t>1690.05</t>
  </si>
  <si>
    <t>326.15</t>
  </si>
  <si>
    <t>P-2026-05-0410</t>
  </si>
  <si>
    <t>346.2</t>
  </si>
  <si>
    <t>346.5</t>
  </si>
  <si>
    <t>P-2026-05-0411</t>
  </si>
  <si>
    <t>366.3</t>
  </si>
  <si>
    <t>P-2026-05-0412</t>
  </si>
  <si>
    <t>124918.8</t>
  </si>
  <si>
    <t>94450.8</t>
  </si>
  <si>
    <t>P-2026-05-0413</t>
  </si>
  <si>
    <t>13483.6</t>
  </si>
  <si>
    <t>10501.65</t>
  </si>
  <si>
    <t>2981.95</t>
  </si>
  <si>
    <t>13487.8</t>
  </si>
  <si>
    <t>11305.95</t>
  </si>
  <si>
    <t>2181.85</t>
  </si>
  <si>
    <t>13484.4</t>
  </si>
  <si>
    <t>11303.1</t>
  </si>
  <si>
    <t>P-2026-05-0414</t>
  </si>
  <si>
    <t>P-2026-05-0415</t>
  </si>
  <si>
    <t>1164.8</t>
  </si>
  <si>
    <t>124.8</t>
  </si>
  <si>
    <t>1163.4</t>
  </si>
  <si>
    <t>941.8</t>
  </si>
  <si>
    <t>221.6</t>
  </si>
  <si>
    <t>1167.6</t>
  </si>
  <si>
    <t>1042.5</t>
  </si>
  <si>
    <t>125.1</t>
  </si>
  <si>
    <t>P-2026-05-0416</t>
  </si>
  <si>
    <t>10203.2</t>
  </si>
  <si>
    <t>1093.2</t>
  </si>
  <si>
    <t>P-2026-05-0417</t>
  </si>
  <si>
    <t>P-2026-05-0418</t>
  </si>
  <si>
    <t>1328.6</t>
  </si>
  <si>
    <t>P-2026-05-0419</t>
  </si>
  <si>
    <t>1702.4</t>
  </si>
  <si>
    <t>182.4</t>
  </si>
  <si>
    <t>P-2026-05-0420</t>
  </si>
  <si>
    <t>12421.5</t>
  </si>
  <si>
    <t>P-2026-05-0421</t>
  </si>
  <si>
    <t>400.8</t>
  </si>
  <si>
    <t>712.8</t>
  </si>
  <si>
    <t>P-2026-05-0422</t>
  </si>
  <si>
    <t>1559.2</t>
  </si>
  <si>
    <t>P-2026-05-0423</t>
  </si>
  <si>
    <t>1868.3</t>
  </si>
  <si>
    <t>P-2026-05-0424</t>
  </si>
  <si>
    <t>1797.5</t>
  </si>
  <si>
    <t>215.7</t>
  </si>
  <si>
    <t>P-2026-06-0425</t>
  </si>
  <si>
    <t>70438.5</t>
  </si>
  <si>
    <t>19210.5</t>
  </si>
  <si>
    <t>P-2026-06-0426</t>
  </si>
  <si>
    <t>2652.75</t>
  </si>
  <si>
    <t>753.25</t>
  </si>
  <si>
    <t>2858.55</t>
  </si>
  <si>
    <t>551.65</t>
  </si>
  <si>
    <t>P-2026-06-0427</t>
  </si>
  <si>
    <t>804.3</t>
  </si>
  <si>
    <t>P-2026-06-0428</t>
  </si>
  <si>
    <t>18404.4</t>
  </si>
  <si>
    <t>16432.5</t>
  </si>
  <si>
    <t>P-2026-06-0429</t>
  </si>
  <si>
    <t>806.4</t>
  </si>
  <si>
    <t>806.7</t>
  </si>
  <si>
    <t>1621.2</t>
  </si>
  <si>
    <t>P-2026-06-0430</t>
  </si>
  <si>
    <t>627.6</t>
  </si>
  <si>
    <t>P-2026-06-0431</t>
  </si>
  <si>
    <t>1488.5</t>
  </si>
  <si>
    <t>1167.9</t>
  </si>
  <si>
    <t>320.6</t>
  </si>
  <si>
    <t>1492.4</t>
  </si>
  <si>
    <t>1332.5</t>
  </si>
  <si>
    <t>159.9</t>
  </si>
  <si>
    <t>P-2026-06-0432</t>
  </si>
  <si>
    <t>1826.85</t>
  </si>
  <si>
    <t>352.55</t>
  </si>
  <si>
    <t>P-2026-06-0433</t>
  </si>
  <si>
    <t>592.2</t>
  </si>
  <si>
    <t>P-2026-06-0434</t>
  </si>
  <si>
    <t>1577.7</t>
  </si>
  <si>
    <t>1578.6</t>
  </si>
  <si>
    <t>1892.7</t>
  </si>
  <si>
    <t>P-2026-06-0435</t>
  </si>
  <si>
    <t>926.2</t>
  </si>
  <si>
    <t>4802.25</t>
  </si>
  <si>
    <t>926.75</t>
  </si>
  <si>
    <t>P-2026-06-0436</t>
  </si>
  <si>
    <t>780.3</t>
  </si>
  <si>
    <t>650.7</t>
  </si>
  <si>
    <t>P-2026-06-0437</t>
  </si>
  <si>
    <t>901.8</t>
  </si>
  <si>
    <t>P-2026-06-0438</t>
  </si>
  <si>
    <t>P-2026-06-0439</t>
  </si>
  <si>
    <t>342.6</t>
  </si>
  <si>
    <t>608.8</t>
  </si>
  <si>
    <t>P-2026-06-0440</t>
  </si>
  <si>
    <t>1849.4</t>
  </si>
  <si>
    <t>919.5</t>
  </si>
  <si>
    <t>P-2026-06-0441</t>
  </si>
  <si>
    <t>10263.5</t>
  </si>
  <si>
    <t>P-2026-06-0442</t>
  </si>
  <si>
    <t>1008.15</t>
  </si>
  <si>
    <t>1007.6</t>
  </si>
  <si>
    <t>P-2026-06-0443</t>
  </si>
  <si>
    <t>10985.4</t>
  </si>
  <si>
    <t>9208.35</t>
  </si>
  <si>
    <t>1777.05</t>
  </si>
  <si>
    <t>10982.4</t>
  </si>
  <si>
    <t>10987.6</t>
  </si>
  <si>
    <t>8557.65</t>
  </si>
  <si>
    <t>2429.95</t>
  </si>
  <si>
    <t>P-2026-06-0444</t>
  </si>
  <si>
    <t>1198.4</t>
  </si>
  <si>
    <t>1199.8</t>
  </si>
  <si>
    <t>P-2026-06-0445</t>
  </si>
  <si>
    <t>15444.8</t>
  </si>
  <si>
    <t>1654.8</t>
  </si>
  <si>
    <t>15447.6</t>
  </si>
  <si>
    <t>13792.5</t>
  </si>
  <si>
    <t>1655.1</t>
  </si>
  <si>
    <t>P-2026-06-0446</t>
  </si>
  <si>
    <t>14045.2</t>
  </si>
  <si>
    <t>10939.05</t>
  </si>
  <si>
    <t>3106.15</t>
  </si>
  <si>
    <t>P-2026-06-0447</t>
  </si>
  <si>
    <t>14511.2</t>
  </si>
  <si>
    <t>12163.8</t>
  </si>
  <si>
    <t>P-2026-06-0448</t>
  </si>
  <si>
    <t>886.2</t>
  </si>
  <si>
    <t>717.4</t>
  </si>
  <si>
    <t>168.8</t>
  </si>
  <si>
    <t>890.5</t>
  </si>
  <si>
    <t>698.7</t>
  </si>
  <si>
    <t>191.8</t>
  </si>
  <si>
    <t>884.8</t>
  </si>
  <si>
    <t>94.8</t>
  </si>
  <si>
    <t>P-2026-06-0449</t>
  </si>
  <si>
    <t>8039.85</t>
  </si>
  <si>
    <t>1551.55</t>
  </si>
  <si>
    <t>P-2026-06-0450</t>
  </si>
  <si>
    <t>772.8</t>
  </si>
  <si>
    <t>P-2026-06-0451</t>
  </si>
  <si>
    <t>P-2026-06-0452</t>
  </si>
  <si>
    <t>880.2</t>
  </si>
  <si>
    <t>1564.8</t>
  </si>
  <si>
    <t>1565.6</t>
  </si>
  <si>
    <t>P-2026-06-0453</t>
  </si>
  <si>
    <t>265477.5</t>
  </si>
  <si>
    <t>75382.5</t>
  </si>
  <si>
    <t>P-2026-06-0454</t>
  </si>
  <si>
    <t>49849.8</t>
  </si>
  <si>
    <t>40354.6</t>
  </si>
  <si>
    <t>49848.4</t>
  </si>
  <si>
    <t>44507.5</t>
  </si>
  <si>
    <t>49848.5</t>
  </si>
  <si>
    <t>39111.9</t>
  </si>
  <si>
    <t>10736.6</t>
  </si>
  <si>
    <t>P-2026-06-0455</t>
  </si>
  <si>
    <t>11953.5</t>
  </si>
  <si>
    <t>11953.2</t>
  </si>
  <si>
    <t>P-2026-06-0456</t>
  </si>
  <si>
    <t>64005.5</t>
  </si>
  <si>
    <t>50219.7</t>
  </si>
  <si>
    <t>13785.8</t>
  </si>
  <si>
    <t>P-2026-06-0457</t>
  </si>
  <si>
    <t>30374.4</t>
  </si>
  <si>
    <t>23865.6</t>
  </si>
  <si>
    <t>P-2026-06-0458</t>
  </si>
  <si>
    <t>1710.8</t>
  </si>
  <si>
    <t>1527.5</t>
  </si>
  <si>
    <t>183.3</t>
  </si>
  <si>
    <t>1709.5</t>
  </si>
  <si>
    <t>1341.3</t>
  </si>
  <si>
    <t>368.2</t>
  </si>
  <si>
    <t>P-2026-06-0459</t>
  </si>
  <si>
    <t>12695.2</t>
  </si>
  <si>
    <t>1360.2</t>
  </si>
  <si>
    <t>P-2026-06-0460</t>
  </si>
  <si>
    <t>1006.6</t>
  </si>
  <si>
    <t>P-2026-06-0461</t>
  </si>
  <si>
    <t>35506.8</t>
  </si>
  <si>
    <t>28743.6</t>
  </si>
  <si>
    <t>P-2026-06-0462</t>
  </si>
  <si>
    <t>17760.4</t>
  </si>
  <si>
    <t>15857.5</t>
  </si>
  <si>
    <t>P-2026-06-0463</t>
  </si>
  <si>
    <t>3559.95</t>
  </si>
  <si>
    <t>1010.85</t>
  </si>
  <si>
    <t>P-2026-06-0464</t>
  </si>
  <si>
    <t>509.1</t>
  </si>
  <si>
    <t>1023.4</t>
  </si>
  <si>
    <t>508.8</t>
  </si>
  <si>
    <t>P-2026-06-0465</t>
  </si>
  <si>
    <t>1761.2</t>
  </si>
  <si>
    <t>1572.5</t>
  </si>
  <si>
    <t>188.7</t>
  </si>
  <si>
    <t>1759.8</t>
  </si>
  <si>
    <t>1424.6</t>
  </si>
  <si>
    <t>335.2</t>
  </si>
  <si>
    <t>P-2026-06-0466</t>
  </si>
  <si>
    <t>633458.2</t>
  </si>
  <si>
    <t>478956.2</t>
  </si>
  <si>
    <t>P-2026-06-0467</t>
  </si>
  <si>
    <t>73824.2</t>
  </si>
  <si>
    <t>61882.05</t>
  </si>
  <si>
    <t>11942.15</t>
  </si>
  <si>
    <t>73820.8</t>
  </si>
  <si>
    <t>61879.2</t>
  </si>
  <si>
    <t>11941.6</t>
  </si>
  <si>
    <t>73824.4</t>
  </si>
  <si>
    <t>57497.85</t>
  </si>
  <si>
    <t>16326.55</t>
  </si>
  <si>
    <t>P-2026-06-0468</t>
  </si>
  <si>
    <t>104081.6</t>
  </si>
  <si>
    <t>11151.6</t>
  </si>
  <si>
    <t>104084.5</t>
  </si>
  <si>
    <t>81666.3</t>
  </si>
  <si>
    <t>22418.2</t>
  </si>
  <si>
    <t>P-2026-06-0469</t>
  </si>
  <si>
    <t>1240.8</t>
  </si>
  <si>
    <t>P-2026-06-0470</t>
  </si>
  <si>
    <t>14300.4</t>
  </si>
  <si>
    <t>P-2026-06-0471</t>
  </si>
  <si>
    <t>574.2</t>
  </si>
  <si>
    <t>P-2026-06-0472</t>
  </si>
  <si>
    <t>10465.2</t>
  </si>
  <si>
    <t>P-2026-06-0473</t>
  </si>
  <si>
    <t>1600.2</t>
  </si>
  <si>
    <t>796.2</t>
  </si>
  <si>
    <t>P-2026-06-0474</t>
  </si>
  <si>
    <t>46972.8</t>
  </si>
  <si>
    <t>38025.6</t>
  </si>
  <si>
    <t>P-2026-06-0475</t>
  </si>
  <si>
    <t>292.5</t>
  </si>
  <si>
    <t>P-2026-06-0476</t>
  </si>
  <si>
    <t>10977.2</t>
  </si>
  <si>
    <t>8549.55</t>
  </si>
  <si>
    <t>2427.65</t>
  </si>
  <si>
    <t>1776.5</t>
  </si>
  <si>
    <t>P-2026-06-0477</t>
  </si>
  <si>
    <t>115065.6</t>
  </si>
  <si>
    <t>89618.4</t>
  </si>
  <si>
    <t>25447.2</t>
  </si>
  <si>
    <t>P-2026-06-0478</t>
  </si>
  <si>
    <t>14109.2</t>
  </si>
  <si>
    <t>12597.5</t>
  </si>
  <si>
    <t>1511.7</t>
  </si>
  <si>
    <t>P-2026-06-0479</t>
  </si>
  <si>
    <t>24187.5</t>
  </si>
  <si>
    <t>P-2026-06-0480</t>
  </si>
  <si>
    <t>498.3</t>
  </si>
  <si>
    <t>P-2026-06-0481</t>
  </si>
  <si>
    <t>10396.4</t>
  </si>
  <si>
    <t>1113.9</t>
  </si>
  <si>
    <t>10393.5</t>
  </si>
  <si>
    <t>P-2026-06-0482</t>
  </si>
  <si>
    <t>565.8</t>
  </si>
  <si>
    <t>P-2026-06-0483</t>
  </si>
  <si>
    <t>679.5</t>
  </si>
  <si>
    <t>679.8</t>
  </si>
  <si>
    <t>P-2026-06-0484</t>
  </si>
  <si>
    <t>P-2026-06-0485</t>
  </si>
  <si>
    <t>243.3</t>
  </si>
  <si>
    <t>1839.4</t>
  </si>
  <si>
    <t>432.8</t>
  </si>
  <si>
    <t>P-2026-06-0486</t>
  </si>
  <si>
    <t>14664.2</t>
  </si>
  <si>
    <t>12292.05</t>
  </si>
  <si>
    <t>2372.15</t>
  </si>
  <si>
    <t>14660.8</t>
  </si>
  <si>
    <t>12289.2</t>
  </si>
  <si>
    <t>P-2026-06-0487</t>
  </si>
  <si>
    <t>870.8</t>
  </si>
  <si>
    <t>777.5</t>
  </si>
  <si>
    <t>93.3</t>
  </si>
  <si>
    <t>P-2026-06-0488</t>
  </si>
  <si>
    <t>180268.8</t>
  </si>
  <si>
    <t>136300.8</t>
  </si>
  <si>
    <t>P-2026-06-0489</t>
  </si>
  <si>
    <t>38568.6</t>
  </si>
  <si>
    <t>31222.2</t>
  </si>
  <si>
    <t>38564.5</t>
  </si>
  <si>
    <t>30258.3</t>
  </si>
  <si>
    <t>30263.4</t>
  </si>
  <si>
    <t>P-2026-06-0490</t>
  </si>
  <si>
    <t>659.4</t>
  </si>
  <si>
    <t>533.8</t>
  </si>
  <si>
    <t>125.6</t>
  </si>
  <si>
    <t>656.5</t>
  </si>
  <si>
    <t>515.1</t>
  </si>
  <si>
    <t>141.4</t>
  </si>
  <si>
    <t>530.4</t>
  </si>
  <si>
    <t>P-2026-06-0491</t>
  </si>
  <si>
    <t>470.4</t>
  </si>
  <si>
    <t>P-2026-06-0492</t>
  </si>
  <si>
    <t>10438.4</t>
  </si>
  <si>
    <t>1118.4</t>
  </si>
  <si>
    <t>P-2026-06-0493</t>
  </si>
  <si>
    <t>15878.8</t>
  </si>
  <si>
    <t>14177.5</t>
  </si>
  <si>
    <t>1701.3</t>
  </si>
  <si>
    <t>P-2026-06-0494</t>
  </si>
  <si>
    <t>13526.5</t>
  </si>
  <si>
    <t>10613.1</t>
  </si>
  <si>
    <t>13528.2</t>
  </si>
  <si>
    <t>10951.4</t>
  </si>
  <si>
    <t>13532.4</t>
  </si>
  <si>
    <t>10954.8</t>
  </si>
  <si>
    <t>P-2026-06-0495</t>
  </si>
  <si>
    <t>47106.8</t>
  </si>
  <si>
    <t>36688.95</t>
  </si>
  <si>
    <t>10417.85</t>
  </si>
  <si>
    <t>39486.75</t>
  </si>
  <si>
    <t>7620.25</t>
  </si>
  <si>
    <t>P-2026-06-0496</t>
  </si>
  <si>
    <t>129910.6</t>
  </si>
  <si>
    <t>108895.65</t>
  </si>
  <si>
    <t>21014.95</t>
  </si>
  <si>
    <t>P-2026-06-0497</t>
  </si>
  <si>
    <t>P-2026-06-0498</t>
  </si>
  <si>
    <t>1636.6</t>
  </si>
  <si>
    <t>P-2026-06-0499</t>
  </si>
  <si>
    <t>532.5</t>
  </si>
  <si>
    <t>P-2026-06-0500</t>
  </si>
  <si>
    <t>630.3</t>
  </si>
  <si>
    <t>1120.8</t>
  </si>
  <si>
    <t>P-2026-06-0501</t>
  </si>
  <si>
    <t>1251.2</t>
  </si>
  <si>
    <t>4410.45</t>
  </si>
  <si>
    <t>1252.35</t>
  </si>
  <si>
    <t>P-2026-06-0502</t>
  </si>
  <si>
    <t>689.7</t>
  </si>
  <si>
    <t>P-2026-06-0503</t>
  </si>
  <si>
    <t>P-2026-06-0504</t>
  </si>
  <si>
    <t>57584.8</t>
  </si>
  <si>
    <t>44849.7</t>
  </si>
  <si>
    <t>12735.1</t>
  </si>
  <si>
    <t>57585.8</t>
  </si>
  <si>
    <t>48270.45</t>
  </si>
  <si>
    <t>9315.35</t>
  </si>
  <si>
    <t>P-2026-06-0505</t>
  </si>
  <si>
    <t>P-2026-06-0506</t>
  </si>
  <si>
    <t>1299.2</t>
  </si>
  <si>
    <t>646.5</t>
  </si>
  <si>
    <t>P-2026-06-0507</t>
  </si>
  <si>
    <t>536.8</t>
  </si>
  <si>
    <t>P-2026-06-0508</t>
  </si>
  <si>
    <t>1873.4</t>
  </si>
  <si>
    <t>440.8</t>
  </si>
  <si>
    <t>248.1</t>
  </si>
  <si>
    <t>1815.6</t>
  </si>
  <si>
    <t>498.4</t>
  </si>
  <si>
    <t>P-2026-06-0509</t>
  </si>
  <si>
    <t>11197.2</t>
  </si>
  <si>
    <t>P-2026-06-0510</t>
  </si>
  <si>
    <t>608.7</t>
  </si>
  <si>
    <t>608.4</t>
  </si>
  <si>
    <t>P-2026-06-0511</t>
  </si>
  <si>
    <t>464.4</t>
  </si>
  <si>
    <t>464.7</t>
  </si>
  <si>
    <t>P-2026-06-0512</t>
  </si>
  <si>
    <t>1437.6</t>
  </si>
  <si>
    <t>808.2</t>
  </si>
  <si>
    <t>P-2026-06-0513</t>
  </si>
  <si>
    <t>1397.5</t>
  </si>
  <si>
    <t>1096.5</t>
  </si>
  <si>
    <t>1398.6</t>
  </si>
  <si>
    <t>1132.2</t>
  </si>
  <si>
    <t>266.4</t>
  </si>
  <si>
    <t>1394.4</t>
  </si>
  <si>
    <t>1128.8</t>
  </si>
  <si>
    <t>265.6</t>
  </si>
  <si>
    <t>P-2026-06-0514</t>
  </si>
  <si>
    <t>1151.15</t>
  </si>
  <si>
    <t>4363.35</t>
  </si>
  <si>
    <t>842.05</t>
  </si>
  <si>
    <t>P-2026-06-0515</t>
  </si>
  <si>
    <t>338.4</t>
  </si>
  <si>
    <t>P-2026-06-0516</t>
  </si>
  <si>
    <t>55931.4</t>
  </si>
  <si>
    <t>45277.8</t>
  </si>
  <si>
    <t>10653.6</t>
  </si>
  <si>
    <t>49937.5</t>
  </si>
  <si>
    <t>P-2026-06-0517</t>
  </si>
  <si>
    <t>26546.8</t>
  </si>
  <si>
    <t>23702.5</t>
  </si>
  <si>
    <t>26548.2</t>
  </si>
  <si>
    <t>21491.4</t>
  </si>
  <si>
    <t>P-2026-06-0518</t>
  </si>
  <si>
    <t>38500.8</t>
  </si>
  <si>
    <t>29986.2</t>
  </si>
  <si>
    <t>38501.6</t>
  </si>
  <si>
    <t>32273.4</t>
  </si>
  <si>
    <t>32276.25</t>
  </si>
  <si>
    <t>6228.75</t>
  </si>
  <si>
    <t>P-2026-06-0519</t>
  </si>
  <si>
    <t>51416.4</t>
  </si>
  <si>
    <t>41622.8</t>
  </si>
  <si>
    <t>P-2026-06-0520</t>
  </si>
  <si>
    <t>P-2026-06-0521</t>
  </si>
  <si>
    <t>402.6</t>
  </si>
  <si>
    <t>402.9</t>
  </si>
  <si>
    <t>P-2026-06-0522</t>
  </si>
  <si>
    <t>1650.6</t>
  </si>
  <si>
    <t>314.4</t>
  </si>
  <si>
    <t>1649.2</t>
  </si>
  <si>
    <t>1472.5</t>
  </si>
  <si>
    <t>176.7</t>
  </si>
  <si>
    <t>P-2026-06-0523</t>
  </si>
  <si>
    <t>P-2026-06-0524</t>
  </si>
  <si>
    <t>916.2</t>
  </si>
  <si>
    <t>P-2026-06-0525</t>
  </si>
  <si>
    <t>P-2026-06-0526</t>
  </si>
  <si>
    <t>354.6</t>
  </si>
  <si>
    <t>712.6</t>
  </si>
  <si>
    <t>354.3</t>
  </si>
  <si>
    <t>P-2026-06-0527</t>
  </si>
  <si>
    <t>699.2</t>
  </si>
  <si>
    <t>P-2026-06-0528</t>
  </si>
  <si>
    <t>570.9</t>
  </si>
  <si>
    <t>P-2026-06-0529</t>
  </si>
  <si>
    <t>13176.8</t>
  </si>
  <si>
    <t>1411.8</t>
  </si>
  <si>
    <t>P-2026-06-0530</t>
  </si>
  <si>
    <t>36216.6</t>
  </si>
  <si>
    <t>29318.2</t>
  </si>
  <si>
    <t>36212.4</t>
  </si>
  <si>
    <t>29314.8</t>
  </si>
  <si>
    <t>P-2026-06-0531</t>
  </si>
  <si>
    <t>135388.5</t>
  </si>
  <si>
    <t>106227.9</t>
  </si>
  <si>
    <t>29160.6</t>
  </si>
  <si>
    <t>P-2026-06-0532</t>
  </si>
  <si>
    <t>803.1</t>
  </si>
  <si>
    <t>P-2026-06-0533</t>
  </si>
  <si>
    <t>1581.3</t>
  </si>
  <si>
    <t>P-2026-06-0534</t>
  </si>
  <si>
    <t>1118.6</t>
  </si>
  <si>
    <t>1117.2</t>
  </si>
  <si>
    <t>556.2</t>
  </si>
  <si>
    <t>P-2026-06-0535</t>
  </si>
  <si>
    <t>10987.2</t>
  </si>
  <si>
    <t>1177.2</t>
  </si>
  <si>
    <t>P-2026-06-0536</t>
  </si>
  <si>
    <t>50496.8</t>
  </si>
  <si>
    <t>42328.2</t>
  </si>
  <si>
    <t>P-2026-06-0537</t>
  </si>
  <si>
    <t>P-2026-06-0538</t>
  </si>
  <si>
    <t>938.3</t>
  </si>
  <si>
    <t>P-2026-06-0539</t>
  </si>
  <si>
    <t>1771.2</t>
  </si>
  <si>
    <t>1475.1</t>
  </si>
  <si>
    <t>P-2026-06-0540</t>
  </si>
  <si>
    <t>579.2</t>
  </si>
  <si>
    <t>P-2026-06-0541</t>
  </si>
  <si>
    <t>1062.4</t>
  </si>
  <si>
    <t>1201.2</t>
  </si>
  <si>
    <t>P-2026-06-0542</t>
  </si>
  <si>
    <t>1305.6</t>
  </si>
  <si>
    <t>358.4</t>
  </si>
  <si>
    <t>P-2026-06-0543</t>
  </si>
  <si>
    <t>1544.4</t>
  </si>
  <si>
    <t>1202.85</t>
  </si>
  <si>
    <t>341.55</t>
  </si>
  <si>
    <t>1540.2</t>
  </si>
  <si>
    <t>1291.05</t>
  </si>
  <si>
    <t>249.15</t>
  </si>
  <si>
    <t>1543.6</t>
  </si>
  <si>
    <t>1293.9</t>
  </si>
  <si>
    <t>249.7</t>
  </si>
  <si>
    <t>P-2026-06-0544</t>
  </si>
  <si>
    <t>802.4</t>
  </si>
  <si>
    <t>188.8</t>
  </si>
  <si>
    <t>P-2026-06-0545</t>
  </si>
  <si>
    <t>1802.5</t>
  </si>
  <si>
    <t>216.3</t>
  </si>
  <si>
    <t>P-2026-06-0546</t>
  </si>
  <si>
    <t>35089.6</t>
  </si>
  <si>
    <t>27329.4</t>
  </si>
  <si>
    <t>P-2026-06-0547</t>
  </si>
  <si>
    <t>1010.8</t>
  </si>
  <si>
    <t>902.5</t>
  </si>
  <si>
    <t>108.3</t>
  </si>
  <si>
    <t>P-2026-06-0548</t>
  </si>
  <si>
    <t>421.2</t>
  </si>
  <si>
    <t>P-2026-06-0549</t>
  </si>
  <si>
    <t>P-2026-06-0550</t>
  </si>
  <si>
    <t>P-2026-06-0551</t>
  </si>
  <si>
    <t>949.6</t>
  </si>
  <si>
    <t>948.8</t>
  </si>
  <si>
    <t>P-2026-06-0552</t>
  </si>
  <si>
    <t>11537.4</t>
  </si>
  <si>
    <t>P-2026-06-0553</t>
  </si>
  <si>
    <t>18324.6</t>
  </si>
  <si>
    <t>14834.2</t>
  </si>
  <si>
    <t>P-2026-06-0554</t>
  </si>
  <si>
    <t>25555.6</t>
  </si>
  <si>
    <t>22817.5</t>
  </si>
  <si>
    <t>P-2026-06-0555</t>
  </si>
  <si>
    <t>11209.4</t>
  </si>
  <si>
    <t>11213.2</t>
  </si>
  <si>
    <t>1813.9</t>
  </si>
  <si>
    <t>11209.8</t>
  </si>
  <si>
    <t>9396.45</t>
  </si>
  <si>
    <t>1813.35</t>
  </si>
  <si>
    <t>P-2026-06-0556</t>
  </si>
  <si>
    <t>690.6</t>
  </si>
  <si>
    <t>690.3</t>
  </si>
  <si>
    <t>P-2026-06-0557</t>
  </si>
  <si>
    <t>423.3</t>
  </si>
  <si>
    <t>P-2026-06-0558</t>
  </si>
  <si>
    <t>10189.2</t>
  </si>
  <si>
    <t>P-2026-06-0559</t>
  </si>
  <si>
    <t>18043.2</t>
  </si>
  <si>
    <t>14606.4</t>
  </si>
  <si>
    <t>P-2026-06-0560</t>
  </si>
  <si>
    <t>829.8</t>
  </si>
  <si>
    <t>1475.2</t>
  </si>
  <si>
    <t>P-2026-06-0561</t>
  </si>
  <si>
    <t>14044.8</t>
  </si>
  <si>
    <t>11369.6</t>
  </si>
  <si>
    <t>P-2026-06-0562</t>
  </si>
  <si>
    <t>232835.2</t>
  </si>
  <si>
    <t>181342.8</t>
  </si>
  <si>
    <t>51492.4</t>
  </si>
  <si>
    <t>P-2026-06-0563</t>
  </si>
  <si>
    <t>38087.5</t>
  </si>
  <si>
    <t>42659.5</t>
  </si>
  <si>
    <t>33471.3</t>
  </si>
  <si>
    <t>P-2026-06-0564</t>
  </si>
  <si>
    <t>1301.3</t>
  </si>
  <si>
    <t>P-2026-06-0565</t>
  </si>
  <si>
    <t>P-2026-06-0566</t>
  </si>
  <si>
    <t>11764.2</t>
  </si>
  <si>
    <t>P-2026-06-0567</t>
  </si>
  <si>
    <t>971.6</t>
  </si>
  <si>
    <t>867.5</t>
  </si>
  <si>
    <t>104.1</t>
  </si>
  <si>
    <t>P-2026-06-0568</t>
  </si>
  <si>
    <t>1090.4</t>
  </si>
  <si>
    <t>P-2026-06-0569</t>
  </si>
  <si>
    <t>1614.4</t>
  </si>
  <si>
    <t>P-2026-06-0570</t>
  </si>
  <si>
    <t>20430.6</t>
  </si>
  <si>
    <t>26042.8</t>
  </si>
  <si>
    <t>23252.5</t>
  </si>
  <si>
    <t>P-2026-06-0571</t>
  </si>
  <si>
    <t>578.6</t>
  </si>
  <si>
    <t>P-2026-06-0572</t>
  </si>
  <si>
    <t>P-2026-06-0573</t>
  </si>
  <si>
    <t>623.7</t>
  </si>
  <si>
    <t>747.9</t>
  </si>
  <si>
    <t>P-2026-06-0574</t>
  </si>
  <si>
    <t>237.9</t>
  </si>
  <si>
    <t>1798.6</t>
  </si>
  <si>
    <t>423.2</t>
  </si>
  <si>
    <t>P-2026-06-0575</t>
  </si>
  <si>
    <t>939.4</t>
  </si>
  <si>
    <t>4870.65</t>
  </si>
  <si>
    <t>939.95</t>
  </si>
  <si>
    <t>P-2026-06-0576</t>
  </si>
  <si>
    <t>21932.4</t>
  </si>
  <si>
    <t>17232.6</t>
  </si>
  <si>
    <t>P-2026-06-0577</t>
  </si>
  <si>
    <t>15906.8</t>
  </si>
  <si>
    <t>14202.5</t>
  </si>
  <si>
    <t>1704.3</t>
  </si>
  <si>
    <t>P-2026-06-0578</t>
  </si>
  <si>
    <t>22459.8</t>
  </si>
  <si>
    <t>16981.8</t>
  </si>
  <si>
    <t>P-2026-06-0579</t>
  </si>
  <si>
    <t>114484.8</t>
  </si>
  <si>
    <t>31427.2</t>
  </si>
  <si>
    <t>P-2026-06-0580</t>
  </si>
  <si>
    <t>57632.4</t>
  </si>
  <si>
    <t>45282.6</t>
  </si>
  <si>
    <t>12349.8</t>
  </si>
  <si>
    <t>43222.5</t>
  </si>
  <si>
    <t>14407.5</t>
  </si>
  <si>
    <t>P-2026-06-0581</t>
  </si>
  <si>
    <t>400.5</t>
  </si>
  <si>
    <t>P-2026-06-0582</t>
  </si>
  <si>
    <t>P-2026-06-0583</t>
  </si>
  <si>
    <t>P-2026-06-0584</t>
  </si>
  <si>
    <t>254.4</t>
  </si>
  <si>
    <t>P-2026-06-0585</t>
  </si>
  <si>
    <t>12597.2</t>
  </si>
  <si>
    <t>11247.5</t>
  </si>
  <si>
    <t>1349.7</t>
  </si>
  <si>
    <t>P-2026-06-0586</t>
  </si>
  <si>
    <t>17950.8</t>
  </si>
  <si>
    <t>14104.2</t>
  </si>
  <si>
    <t>P-2026-06-0587</t>
  </si>
  <si>
    <t>10369.8</t>
  </si>
  <si>
    <t>P-2026-06-0588</t>
  </si>
  <si>
    <t>P-2026-06-0589</t>
  </si>
  <si>
    <t>1754.4</t>
  </si>
  <si>
    <t>481.6</t>
  </si>
  <si>
    <t>P-2026-06-0590</t>
  </si>
  <si>
    <t>50360.8</t>
  </si>
  <si>
    <t>P-2026-06-0591</t>
  </si>
  <si>
    <t>686.1</t>
  </si>
  <si>
    <t>P-2026-06-0592</t>
  </si>
  <si>
    <t>1066.8</t>
  </si>
  <si>
    <t>P-2026-06-0593</t>
  </si>
  <si>
    <t>24959.4</t>
  </si>
  <si>
    <t>31806.6</t>
  </si>
  <si>
    <t>25748.2</t>
  </si>
  <si>
    <t>P-2026-06-0594</t>
  </si>
  <si>
    <t>25710.8</t>
  </si>
  <si>
    <t>21551.7</t>
  </si>
  <si>
    <t>25708.8</t>
  </si>
  <si>
    <t>20023.2</t>
  </si>
  <si>
    <t>P-2026-06-0595</t>
  </si>
  <si>
    <t>978.3</t>
  </si>
  <si>
    <t>P-2026-06-0596</t>
  </si>
  <si>
    <t>17165.4</t>
  </si>
  <si>
    <t>13895.8</t>
  </si>
  <si>
    <t>P-2026-06-0597</t>
  </si>
  <si>
    <t>994.8</t>
  </si>
  <si>
    <t>P-2026-06-0598</t>
  </si>
  <si>
    <t>996.6</t>
  </si>
  <si>
    <t>4799.25</t>
  </si>
  <si>
    <t>1362.75</t>
  </si>
  <si>
    <t>997.15</t>
  </si>
  <si>
    <t>P-2026-06-0599</t>
  </si>
  <si>
    <t>33658.8</t>
  </si>
  <si>
    <t>26446.2</t>
  </si>
  <si>
    <t>25006.8</t>
  </si>
  <si>
    <t>P-2026-06-0600</t>
  </si>
  <si>
    <t>1384.8</t>
  </si>
  <si>
    <t>P-2026-06-0601</t>
  </si>
  <si>
    <t>33241.6</t>
  </si>
  <si>
    <t>P-2026-06-0602</t>
  </si>
  <si>
    <t>12846.4</t>
  </si>
  <si>
    <t>1376.4</t>
  </si>
  <si>
    <t>10077.6</t>
  </si>
  <si>
    <t>P-2026-06-0603</t>
  </si>
  <si>
    <t>25279.8</t>
  </si>
  <si>
    <t>19862.7</t>
  </si>
  <si>
    <t>P-2026-06-0604</t>
  </si>
  <si>
    <t>1393.6</t>
  </si>
  <si>
    <t>1085.4</t>
  </si>
  <si>
    <t>308.2</t>
  </si>
  <si>
    <t>1397.4</t>
  </si>
  <si>
    <t>1171.35</t>
  </si>
  <si>
    <t>226.05</t>
  </si>
  <si>
    <t>P-2026-06-0605</t>
  </si>
  <si>
    <t>1485.6</t>
  </si>
  <si>
    <t>835.5</t>
  </si>
  <si>
    <t>P-2026-06-0606</t>
  </si>
  <si>
    <t>365.7</t>
  </si>
  <si>
    <t>P-2026-06-0607</t>
  </si>
  <si>
    <t>4152.45</t>
  </si>
  <si>
    <t>801.35</t>
  </si>
  <si>
    <t>P-2026-06-0608</t>
  </si>
  <si>
    <t>692.8</t>
  </si>
  <si>
    <t>P-2026-06-0609</t>
  </si>
  <si>
    <t>967.8</t>
  </si>
  <si>
    <t>P-2026-06-0610</t>
  </si>
  <si>
    <t>12450.8</t>
  </si>
  <si>
    <t>10436.7</t>
  </si>
  <si>
    <t>P-2026-06-0611</t>
  </si>
  <si>
    <t>P-2026-06-0612</t>
  </si>
  <si>
    <t>11723.2</t>
  </si>
  <si>
    <t>1896.4</t>
  </si>
  <si>
    <t>P-2026-06-0613</t>
  </si>
  <si>
    <t>P-2026-06-0614</t>
  </si>
  <si>
    <t>1473.3</t>
  </si>
  <si>
    <t>P-2026-06-0615</t>
  </si>
  <si>
    <t>548.7</t>
  </si>
  <si>
    <t>P-2026-06-0616</t>
  </si>
  <si>
    <t>57703.8</t>
  </si>
  <si>
    <t>46712.6</t>
  </si>
  <si>
    <t>10991.2</t>
  </si>
  <si>
    <t>57700.5</t>
  </si>
  <si>
    <t>45272.7</t>
  </si>
  <si>
    <t>12429.2</t>
  </si>
  <si>
    <t>P-2026-06-0617</t>
  </si>
  <si>
    <t>35808.8</t>
  </si>
  <si>
    <t>30016.2</t>
  </si>
  <si>
    <t>35807.2</t>
  </si>
  <si>
    <t>27888.3</t>
  </si>
  <si>
    <t>P-2026-06-0618</t>
  </si>
  <si>
    <t>1404.2</t>
  </si>
  <si>
    <t>P-2026-06-0619</t>
  </si>
  <si>
    <t>1007.2</t>
  </si>
  <si>
    <t>P-2026-06-0620</t>
  </si>
  <si>
    <t>721.6</t>
  </si>
  <si>
    <t>986.7</t>
  </si>
  <si>
    <t>P-2026-06-0621</t>
  </si>
  <si>
    <t>12658.8</t>
  </si>
  <si>
    <t>10247.6</t>
  </si>
  <si>
    <t>P-2026-06-0622</t>
  </si>
  <si>
    <t>443.4</t>
  </si>
  <si>
    <t>P-2026-06-0623</t>
  </si>
  <si>
    <t>19870.2</t>
  </si>
  <si>
    <t>16085.4</t>
  </si>
  <si>
    <t>P-2026-06-0624</t>
  </si>
  <si>
    <t>490.8</t>
  </si>
  <si>
    <t>490.5</t>
  </si>
  <si>
    <t>P-2026-06-0625</t>
  </si>
  <si>
    <t>10153.5</t>
  </si>
  <si>
    <t>P-2026-06-0626</t>
  </si>
  <si>
    <t>172827.2</t>
  </si>
  <si>
    <t>134605.8</t>
  </si>
  <si>
    <t>38221.4</t>
  </si>
  <si>
    <t>P-2026-06-0627</t>
  </si>
  <si>
    <t>P-2026-06-0628</t>
  </si>
  <si>
    <t>25222.4</t>
  </si>
  <si>
    <t>25226.5</t>
  </si>
  <si>
    <t>19793.1</t>
  </si>
  <si>
    <t>P-2026-06-0629</t>
  </si>
  <si>
    <t>P-2026-06-0630</t>
  </si>
  <si>
    <t>28635.6</t>
  </si>
  <si>
    <t>25567.5</t>
  </si>
  <si>
    <t>P-2026-06-0631</t>
  </si>
  <si>
    <t>11121.6</t>
  </si>
  <si>
    <t>1191.6</t>
  </si>
  <si>
    <t>11124.4</t>
  </si>
  <si>
    <t>1191.9</t>
  </si>
  <si>
    <t>P-2026-06-0632</t>
  </si>
  <si>
    <t>P-2026-06-0633</t>
  </si>
  <si>
    <t>25048.8</t>
  </si>
  <si>
    <t>20277.6</t>
  </si>
  <si>
    <t>25051.6</t>
  </si>
  <si>
    <t>22367.5</t>
  </si>
  <si>
    <t>P-2026-06-0634</t>
  </si>
  <si>
    <t>978.9</t>
  </si>
  <si>
    <t>1740.8</t>
  </si>
  <si>
    <t>P-2026-06-0635</t>
  </si>
  <si>
    <t>3430.35</t>
  </si>
  <si>
    <t>974.05</t>
  </si>
  <si>
    <t>3690.75</t>
  </si>
  <si>
    <t>712.25</t>
  </si>
  <si>
    <t>P-2026-06-0636</t>
  </si>
  <si>
    <t>485.4</t>
  </si>
  <si>
    <t>485.7</t>
  </si>
  <si>
    <t>P-2026-06-0637</t>
  </si>
  <si>
    <t>P-2026-06-0638</t>
  </si>
  <si>
    <t>927.3</t>
  </si>
  <si>
    <t>P-2026-06-0639</t>
  </si>
  <si>
    <t>631.4</t>
  </si>
  <si>
    <t>P-2026-06-0640</t>
  </si>
  <si>
    <t>P-2026-06-0641</t>
  </si>
  <si>
    <t>27280.5</t>
  </si>
  <si>
    <t>21404.7</t>
  </si>
  <si>
    <t>P-2026-06-0642</t>
  </si>
  <si>
    <t>11587.5</t>
  </si>
  <si>
    <t>1390.5</t>
  </si>
  <si>
    <t>P-2026-06-0643</t>
  </si>
  <si>
    <t>22640.8</t>
  </si>
  <si>
    <t>22642.2</t>
  </si>
  <si>
    <t>18329.4</t>
  </si>
  <si>
    <t>P-2026-06-0644</t>
  </si>
  <si>
    <t>1769.7</t>
  </si>
  <si>
    <t>589.9</t>
  </si>
  <si>
    <t>1774.8</t>
  </si>
  <si>
    <t>591.6</t>
  </si>
  <si>
    <t>P-2026-06-0645</t>
  </si>
  <si>
    <t>717.3</t>
  </si>
  <si>
    <t>P-2026-06-0646</t>
  </si>
  <si>
    <t>904.2</t>
  </si>
  <si>
    <t>P-2026-06-0647</t>
  </si>
  <si>
    <t>928.2</t>
  </si>
  <si>
    <t>P-2026-06-0648</t>
  </si>
  <si>
    <t>136938.4</t>
  </si>
  <si>
    <t>114786.6</t>
  </si>
  <si>
    <t>22151.8</t>
  </si>
  <si>
    <t>P-2026-06-0649</t>
  </si>
  <si>
    <t>P-2026-06-0650</t>
  </si>
  <si>
    <t>P-2026-06-0651</t>
  </si>
  <si>
    <t>1098.9</t>
  </si>
  <si>
    <t>P-2026-06-0652</t>
  </si>
  <si>
    <t>466.4</t>
  </si>
  <si>
    <t>262.5</t>
  </si>
  <si>
    <t>P-2026-06-0653</t>
  </si>
  <si>
    <t>5953.65</t>
  </si>
  <si>
    <t>1148.95</t>
  </si>
  <si>
    <t>P-2026-06-0654</t>
  </si>
  <si>
    <t>754.4</t>
  </si>
  <si>
    <t>424.8</t>
  </si>
  <si>
    <t>P-2026-06-0655</t>
  </si>
  <si>
    <t>13292.5</t>
  </si>
  <si>
    <t>10429.5</t>
  </si>
  <si>
    <t>13288.8</t>
  </si>
  <si>
    <t>1423.8</t>
  </si>
  <si>
    <t>P-2026-06-0656</t>
  </si>
  <si>
    <t>625.9</t>
  </si>
  <si>
    <t>P-2026-06-0657</t>
  </si>
  <si>
    <t>P-2026-06-0658</t>
  </si>
  <si>
    <t>P-2026-06-0659</t>
  </si>
  <si>
    <t>33537.6</t>
  </si>
  <si>
    <t>28112.4</t>
  </si>
  <si>
    <t>33534.2</t>
  </si>
  <si>
    <t>28109.55</t>
  </si>
  <si>
    <t>5424.65</t>
  </si>
  <si>
    <t>P-2026-06-0660</t>
  </si>
  <si>
    <t>16720.2</t>
  </si>
  <si>
    <t>13137.3</t>
  </si>
  <si>
    <t>P-2026-06-0661</t>
  </si>
  <si>
    <t>P-2026-06-0662</t>
  </si>
  <si>
    <t>698.6</t>
  </si>
  <si>
    <t>617.6</t>
  </si>
  <si>
    <t>P-2026-06-0663</t>
  </si>
  <si>
    <t>322.8</t>
  </si>
  <si>
    <t>P-2026-06-0664</t>
  </si>
  <si>
    <t>1661.4</t>
  </si>
  <si>
    <t>575.1</t>
  </si>
  <si>
    <t>P-2026-06-0665</t>
  </si>
  <si>
    <t>1619.8</t>
  </si>
  <si>
    <t>805.5</t>
  </si>
  <si>
    <t>P-2026-06-0666</t>
  </si>
  <si>
    <t>14114.8</t>
  </si>
  <si>
    <t>12602.5</t>
  </si>
  <si>
    <t>1512.3</t>
  </si>
  <si>
    <t>P-2026-06-0667</t>
  </si>
  <si>
    <t>810.4</t>
  </si>
  <si>
    <t>P-2026-06-0668</t>
  </si>
  <si>
    <t>1159.2</t>
  </si>
  <si>
    <t>124.2</t>
  </si>
  <si>
    <t>907.8</t>
  </si>
  <si>
    <t>249.2</t>
  </si>
  <si>
    <t>P-2026-06-0669</t>
  </si>
  <si>
    <t>P-2026-06-0670</t>
  </si>
  <si>
    <t>43352.4</t>
  </si>
  <si>
    <t>35094.8</t>
  </si>
  <si>
    <t>P-2026-06-0671</t>
  </si>
  <si>
    <t>579.9</t>
  </si>
  <si>
    <t>580.2</t>
  </si>
  <si>
    <t>P-2026-06-0672</t>
  </si>
  <si>
    <t>993.6</t>
  </si>
  <si>
    <t>P-2026-06-0673</t>
  </si>
  <si>
    <t>821.6</t>
  </si>
  <si>
    <t>P-2026-06-0674</t>
  </si>
  <si>
    <t>13704.6</t>
  </si>
  <si>
    <t>11094.2</t>
  </si>
  <si>
    <t>P-2026-06-0675</t>
  </si>
  <si>
    <t>59568.6</t>
  </si>
  <si>
    <t>46803.9</t>
  </si>
  <si>
    <t>12764.7</t>
  </si>
  <si>
    <t>P-2026-06-0676</t>
  </si>
  <si>
    <t>81608.8</t>
  </si>
  <si>
    <t>63560.7</t>
  </si>
  <si>
    <t>18048.1</t>
  </si>
  <si>
    <t>81606.4</t>
  </si>
  <si>
    <t>61702.4</t>
  </si>
  <si>
    <t>P-2026-06-0677</t>
  </si>
  <si>
    <t>26476.8</t>
  </si>
  <si>
    <t>P-2026-06-0678</t>
  </si>
  <si>
    <t>33952.4</t>
  </si>
  <si>
    <t>28460.1</t>
  </si>
  <si>
    <t>P-2026-06-0679</t>
  </si>
  <si>
    <t>663.9</t>
  </si>
  <si>
    <t>P-2026-06-0680</t>
  </si>
  <si>
    <t>16489.2</t>
  </si>
  <si>
    <t>12955.8</t>
  </si>
  <si>
    <t>P-2026-06-0681</t>
  </si>
  <si>
    <t>546.6</t>
  </si>
  <si>
    <t>546.3</t>
  </si>
  <si>
    <t>P-2026-06-0682</t>
  </si>
  <si>
    <t>1498.5</t>
  </si>
  <si>
    <t>P-2026-06-0683</t>
  </si>
  <si>
    <t>727.2</t>
  </si>
  <si>
    <t>P-2026-06-0684</t>
  </si>
  <si>
    <t>362.1</t>
  </si>
  <si>
    <t>P-2026-06-0685</t>
  </si>
  <si>
    <t>P-2026-06-0686</t>
  </si>
  <si>
    <t>11981.6</t>
  </si>
  <si>
    <t>P-2026-06-0687</t>
  </si>
  <si>
    <t>32136.75</t>
  </si>
  <si>
    <t>9125.25</t>
  </si>
  <si>
    <t>P-2026-06-0688</t>
  </si>
  <si>
    <t>29812.5</t>
  </si>
  <si>
    <t>P-2026-06-0689</t>
  </si>
  <si>
    <t>154486.8</t>
  </si>
  <si>
    <t>120321.45</t>
  </si>
  <si>
    <t>34165.35</t>
  </si>
  <si>
    <t>154489.2</t>
  </si>
  <si>
    <t>129498.3</t>
  </si>
  <si>
    <t>24990.9</t>
  </si>
  <si>
    <t>P-2026-06-0690</t>
  </si>
  <si>
    <t>99012.5</t>
  </si>
  <si>
    <t>11881.5</t>
  </si>
  <si>
    <t>P-2026-06-0691</t>
  </si>
  <si>
    <t>46531.8</t>
  </si>
  <si>
    <t>37668.6</t>
  </si>
  <si>
    <t>46533.5</t>
  </si>
  <si>
    <t>36510.9</t>
  </si>
  <si>
    <t>10022.6</t>
  </si>
  <si>
    <t>P-2026-06-0692</t>
  </si>
  <si>
    <t>1023.3</t>
  </si>
  <si>
    <t>1023.6</t>
  </si>
  <si>
    <t>P-2026-06-0693</t>
  </si>
  <si>
    <t>848.4</t>
  </si>
  <si>
    <t>748.8</t>
  </si>
  <si>
    <t>P-2026-06-0694</t>
  </si>
  <si>
    <t>P-2026-06-0695</t>
  </si>
  <si>
    <t>12814.2</t>
  </si>
  <si>
    <t>10068.3</t>
  </si>
  <si>
    <t>12818.4</t>
  </si>
  <si>
    <t>10071.6</t>
  </si>
  <si>
    <t>P-2026-06-0696</t>
  </si>
  <si>
    <t>389.1</t>
  </si>
  <si>
    <t>categoria</t>
  </si>
  <si>
    <t>variante</t>
  </si>
  <si>
    <t>margem_unitaria</t>
  </si>
  <si>
    <t>margem_pct</t>
  </si>
  <si>
    <t>Caixa Pequena Padrão</t>
  </si>
  <si>
    <t>pequena</t>
  </si>
  <si>
    <t>padrao</t>
  </si>
  <si>
    <t>0.3</t>
  </si>
  <si>
    <t>10.71</t>
  </si>
  <si>
    <t>Caixa Pequena Customizada</t>
  </si>
  <si>
    <t>customizada</t>
  </si>
  <si>
    <t>0.55</t>
  </si>
  <si>
    <t>16.18</t>
  </si>
  <si>
    <t>Caixa Pequena Premium</t>
  </si>
  <si>
    <t>premium</t>
  </si>
  <si>
    <t>0.9</t>
  </si>
  <si>
    <t>21.43</t>
  </si>
  <si>
    <t>Caixa Média Padrão</t>
  </si>
  <si>
    <t>media</t>
  </si>
  <si>
    <t>0.8</t>
  </si>
  <si>
    <t>Caixa Média Customizada</t>
  </si>
  <si>
    <t>1.15</t>
  </si>
  <si>
    <t>Caixa Média Premium</t>
  </si>
  <si>
    <t>Caixa Grande Padrão</t>
  </si>
  <si>
    <t>grande</t>
  </si>
  <si>
    <t>21.54</t>
  </si>
  <si>
    <t>Caixa Grande Customizada</t>
  </si>
  <si>
    <t>24.39</t>
  </si>
  <si>
    <t>Caixa Grande Premium</t>
  </si>
  <si>
    <t>25.71</t>
  </si>
  <si>
    <t>nome_completo</t>
  </si>
  <si>
    <t>apelido</t>
  </si>
  <si>
    <t>tipo</t>
  </si>
  <si>
    <t>regiao_atendimento</t>
  </si>
  <si>
    <t>ano_admissao</t>
  </si>
  <si>
    <t>num_clientes_carteira</t>
  </si>
  <si>
    <t>Luciana Albuquerque</t>
  </si>
  <si>
    <t>Luciana</t>
  </si>
  <si>
    <t>Carteira top (top 20 clientes) — atende telefone direto</t>
  </si>
  <si>
    <t>Lúcio Tavares de Oliveira</t>
  </si>
  <si>
    <t>Lúcio</t>
  </si>
  <si>
    <t>Sudoeste PR (Pato Branco, Francisco Beltrão, Cascavel, Foz)</t>
  </si>
  <si>
    <t>Joana Rebello Mendes</t>
  </si>
  <si>
    <t>Joana</t>
  </si>
  <si>
    <t>Norte PR + Centro-Oeste (Maringá, Londrina, Campo Mourão, Apucarana)</t>
  </si>
  <si>
    <t>Pedro Caputo Soares</t>
  </si>
  <si>
    <t>Pedro</t>
  </si>
  <si>
    <t>São Paulo capital + ABC + Interior SP</t>
  </si>
  <si>
    <t>Camila Yoshida Tanaka</t>
  </si>
  <si>
    <t>Camila T.</t>
  </si>
  <si>
    <t>Santa Catarina + Sul SP</t>
  </si>
  <si>
    <t>Rogério Schmidt Fritz</t>
  </si>
  <si>
    <t>Rogério</t>
  </si>
  <si>
    <t>Carteira média (clientes 21-100 do ranking) — telefone e e-mail</t>
  </si>
  <si>
    <t>Bruna Almeida Costa</t>
  </si>
  <si>
    <t>Bruna</t>
  </si>
  <si>
    <t>Cauda longa (clientes pequenos eventuais) + cotações novas</t>
  </si>
  <si>
    <t>Marisa Pelegrini</t>
  </si>
  <si>
    <t>Marisa</t>
  </si>
  <si>
    <t>coordenador</t>
  </si>
  <si>
    <t>Gestão do time + atende pessoalmente top 5 Aurora</t>
  </si>
  <si>
    <t>data_pedido</t>
  </si>
  <si>
    <t>Mês</t>
  </si>
  <si>
    <t>data_entrega_prometida</t>
  </si>
  <si>
    <t>data_entrega_real</t>
  </si>
  <si>
    <t>nome_cliente</t>
  </si>
  <si>
    <t>qtd_linhas</t>
  </si>
  <si>
    <t>valor_total</t>
  </si>
  <si>
    <t>custo_produto_total</t>
  </si>
  <si>
    <t>margem_bruta</t>
  </si>
  <si>
    <t>frete_real</t>
  </si>
  <si>
    <t>margem_liquida</t>
  </si>
  <si>
    <t>status</t>
  </si>
  <si>
    <t>entregue</t>
  </si>
  <si>
    <t>em-producao</t>
  </si>
  <si>
    <t>atrasado</t>
  </si>
  <si>
    <t>cancelado</t>
  </si>
  <si>
    <t>perdido</t>
  </si>
  <si>
    <t>SUM de valor_total</t>
  </si>
  <si>
    <t>faturamento</t>
  </si>
  <si>
    <t>margem liquida</t>
  </si>
  <si>
    <t>margem %</t>
  </si>
  <si>
    <t>2026-04</t>
  </si>
  <si>
    <t>2026-05</t>
  </si>
  <si>
    <t>2026-06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</si>
</sst>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mmmm"/>
    <numFmt numFmtId="166" formatCode="[$R$ -416]#,##0.00"/>
    <numFmt numFmtId="167" formatCode="d.m"/>
    <numFmt numFmtId="168" formatCode="dd.mm"/>
    <numFmt numFmtId="169" formatCode="yyyy.m"/>
    <numFmt numFmtId="170" formatCode="yyyy.mm"/>
    <numFmt numFmtId="171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2EDE1"/>
        <bgColor rgb="FFF2EDE1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readingOrder="0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0" fontId="1" numFmtId="171" xfId="0" applyAlignment="1" applyFont="1" applyNumberFormat="1">
      <alignment readingOrder="0" shrinkToFit="0" vertical="center" wrapText="0"/>
    </xf>
    <xf borderId="0" fillId="2" fontId="1" numFmtId="49" xfId="0" applyAlignment="1" applyFill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49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10" xfId="0" applyFont="1" applyNumberFormat="1"/>
    <xf borderId="0" fillId="3" fontId="1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ns_pedi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de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di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Faturamento Mensal</a:t>
            </a:r>
          </a:p>
        </c:rich>
      </c:tx>
      <c:overlay val="0"/>
    </c:title>
    <c:plotArea>
      <c:layout>
        <c:manualLayout>
          <c:xMode val="edge"/>
          <c:yMode val="edge"/>
          <c:x val="0.04777777777777765"/>
          <c:y val="0.15369024474664864"/>
          <c:w val="0.9213055555555555"/>
          <c:h val="0.7150147912245745"/>
        </c:manualLayout>
      </c:layout>
      <c:barChart>
        <c:barDir val="col"/>
        <c:ser>
          <c:idx val="0"/>
          <c:order val="0"/>
          <c:tx>
            <c:strRef>
              <c:f>'Análises'!$B$1</c:f>
            </c:strRef>
          </c:tx>
          <c:spPr>
            <a:solidFill>
              <a:srgbClr val="1F2F6B"/>
            </a:solidFill>
            <a:ln cmpd="sng">
              <a:noFill/>
            </a:ln>
          </c:spPr>
          <c:dPt>
            <c:idx val="0"/>
            <c:spPr>
              <a:solidFill>
                <a:srgbClr val="E44B7E"/>
              </a:solidFill>
              <a:ln cmpd="sng">
                <a:noFill/>
              </a:ln>
            </c:spPr>
          </c:dPt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'Análises'!$A$2:$A$4</c:f>
            </c:strRef>
          </c:cat>
          <c:val>
            <c:numRef>
              <c:f>'Análises'!$B$2:$B$4</c:f>
              <c:numCache/>
            </c:numRef>
          </c:val>
        </c:ser>
        <c:axId val="1290554086"/>
        <c:axId val="82054160"/>
      </c:barChart>
      <c:catAx>
        <c:axId val="1290554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82054160"/>
      </c:catAx>
      <c:valAx>
        <c:axId val="8205416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valor_total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290554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Top 10 maiores clientes</a:t>
            </a:r>
          </a:p>
        </c:rich>
      </c:tx>
      <c:overlay val="0"/>
    </c:title>
    <c:plotArea>
      <c:layout>
        <c:manualLayout>
          <c:xMode val="edge"/>
          <c:yMode val="edge"/>
          <c:x val="0.036966791368564296"/>
          <c:y val="0.1428021143061463"/>
          <c:w val="0.930283522786601"/>
          <c:h val="0.6746825482705407"/>
        </c:manualLayout>
      </c:layout>
      <c:barChart>
        <c:barDir val="col"/>
        <c:ser>
          <c:idx val="0"/>
          <c:order val="0"/>
          <c:tx>
            <c:strRef>
              <c:f>'Análises'!$B$6</c:f>
            </c:strRef>
          </c:tx>
          <c:spPr>
            <a:solidFill>
              <a:srgbClr val="1F2F6B"/>
            </a:solidFill>
            <a:ln cmpd="sng">
              <a:noFill/>
            </a:ln>
          </c:spPr>
          <c:dPt>
            <c:idx val="0"/>
            <c:spPr>
              <a:solidFill>
                <a:srgbClr val="E44B7E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'Análises'!$A$7:$A$16</c:f>
            </c:strRef>
          </c:cat>
          <c:val>
            <c:numRef>
              <c:f>'Análises'!$B$7:$B$16</c:f>
              <c:numCache/>
            </c:numRef>
          </c:val>
        </c:ser>
        <c:axId val="2133910841"/>
        <c:axId val="1344485954"/>
      </c:barChart>
      <c:catAx>
        <c:axId val="2133910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44485954"/>
      </c:catAx>
      <c:valAx>
        <c:axId val="134448595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chemeClr val="lt1"/>
                    </a:solidFill>
                    <a:latin typeface="+mn-lt"/>
                  </a:defRPr>
                </a:pPr>
                <a:r>
                  <a:rPr b="0">
                    <a:solidFill>
                      <a:schemeClr val="lt1"/>
                    </a:solidFill>
                    <a:latin typeface="+mn-lt"/>
                  </a:rPr>
                  <a:t>SUM de valor_total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133910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Margem líquida por segmento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'Análises'!$F$1</c:f>
            </c:strRef>
          </c:tx>
          <c:spPr>
            <a:solidFill>
              <a:srgbClr val="1F2F6B"/>
            </a:solidFill>
            <a:ln cmpd="sng">
              <a:noFill/>
            </a:ln>
          </c:spPr>
          <c:dPt>
            <c:idx val="0"/>
          </c:dPt>
          <c:dPt>
            <c:idx val="2"/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'Análises'!$E$2:$E$9</c:f>
            </c:strRef>
          </c:cat>
          <c:val>
            <c:numRef>
              <c:f>'Análises'!$F$2:$F$9</c:f>
              <c:numCache/>
            </c:numRef>
          </c:val>
        </c:ser>
        <c:axId val="2039039157"/>
        <c:axId val="1574971989"/>
      </c:barChart>
      <c:catAx>
        <c:axId val="2039039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971989"/>
      </c:catAx>
      <c:valAx>
        <c:axId val="1574971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039157"/>
      </c:valAx>
      <c:lineChart>
        <c:varyColors val="0"/>
        <c:ser>
          <c:idx val="1"/>
          <c:order val="1"/>
          <c:tx>
            <c:strRef>
              <c:f>'Análises'!$H$1</c:f>
            </c:strRef>
          </c:tx>
          <c:spPr>
            <a:ln cmpd="sng">
              <a:solidFill>
                <a:srgbClr val="E44B7E">
                  <a:alpha val="100000"/>
                </a:srgbClr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E44B7E">
                  <a:alpha val="100000"/>
                </a:srgbClr>
              </a:solidFill>
              <a:ln cmpd="sng">
                <a:solidFill>
                  <a:srgbClr val="E44B7E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'Análises'!$E$2:$E$9</c:f>
            </c:strRef>
          </c:cat>
          <c:val>
            <c:numRef>
              <c:f>'Análises'!$H$2:$H$9</c:f>
              <c:numCache/>
            </c:numRef>
          </c:val>
          <c:smooth val="0"/>
        </c:ser>
        <c:axId val="758495672"/>
        <c:axId val="1131991377"/>
      </c:lineChart>
      <c:catAx>
        <c:axId val="758495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991377"/>
      </c:catAx>
      <c:valAx>
        <c:axId val="1131991377"/>
        <c:scaling>
          <c:orientation val="minMax"/>
          <c:max val="0.2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4956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5610225" cy="3952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</xdr:row>
      <xdr:rowOff>85725</xdr:rowOff>
    </xdr:from>
    <xdr:ext cx="11515725" cy="39528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152400</xdr:rowOff>
    </xdr:from>
    <xdr:ext cx="17383125" cy="41338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697" sheet="Pedidos"/>
  </cacheSource>
  <cacheFields>
    <cacheField name="pedido_id" numFmtId="0">
      <sharedItems>
        <s v="P-2026-04-0001"/>
        <s v="P-2026-04-0002"/>
        <s v="P-2026-04-0003"/>
        <s v="P-2026-04-0004"/>
        <s v="P-2026-04-0005"/>
        <s v="P-2026-04-0006"/>
        <s v="P-2026-04-0007"/>
        <s v="P-2026-04-0008"/>
        <s v="P-2026-04-0009"/>
        <s v="P-2026-04-0010"/>
        <s v="P-2026-04-0011"/>
        <s v="P-2026-04-0012"/>
        <s v="P-2026-04-0013"/>
        <s v="P-2026-04-0014"/>
        <s v="P-2026-04-0015"/>
        <s v="P-2026-04-0016"/>
        <s v="P-2026-04-0017"/>
        <s v="P-2026-04-0018"/>
        <s v="P-2026-04-0019"/>
        <s v="P-2026-04-0020"/>
        <s v="P-2026-04-0021"/>
        <s v="P-2026-04-0022"/>
        <s v="P-2026-04-0023"/>
        <s v="P-2026-04-0024"/>
        <s v="P-2026-04-0025"/>
        <s v="P-2026-04-0026"/>
        <s v="P-2026-04-0027"/>
        <s v="P-2026-04-0028"/>
        <s v="P-2026-04-0029"/>
        <s v="P-2026-04-0030"/>
        <s v="P-2026-04-0031"/>
        <s v="P-2026-04-0032"/>
        <s v="P-2026-04-0033"/>
        <s v="P-2026-04-0034"/>
        <s v="P-2026-04-0035"/>
        <s v="P-2026-04-0036"/>
        <s v="P-2026-04-0037"/>
        <s v="P-2026-04-0038"/>
        <s v="P-2026-04-0039"/>
        <s v="P-2026-04-0040"/>
        <s v="P-2026-04-0041"/>
        <s v="P-2026-04-0042"/>
        <s v="P-2026-04-0043"/>
        <s v="P-2026-04-0044"/>
        <s v="P-2026-04-0045"/>
        <s v="P-2026-04-0046"/>
        <s v="P-2026-04-0047"/>
        <s v="P-2026-04-0048"/>
        <s v="P-2026-04-0049"/>
        <s v="P-2026-04-0050"/>
        <s v="P-2026-04-0051"/>
        <s v="P-2026-04-0052"/>
        <s v="P-2026-04-0053"/>
        <s v="P-2026-04-0054"/>
        <s v="P-2026-04-0055"/>
        <s v="P-2026-04-0056"/>
        <s v="P-2026-04-0057"/>
        <s v="P-2026-04-0058"/>
        <s v="P-2026-04-0059"/>
        <s v="P-2026-04-0060"/>
        <s v="P-2026-04-0061"/>
        <s v="P-2026-04-0062"/>
        <s v="P-2026-04-0063"/>
        <s v="P-2026-04-0064"/>
        <s v="P-2026-04-0065"/>
        <s v="P-2026-04-0066"/>
        <s v="P-2026-04-0067"/>
        <s v="P-2026-04-0068"/>
        <s v="P-2026-04-0069"/>
        <s v="P-2026-04-0070"/>
        <s v="P-2026-04-0071"/>
        <s v="P-2026-04-0072"/>
        <s v="P-2026-04-0073"/>
        <s v="P-2026-04-0074"/>
        <s v="P-2026-04-0075"/>
        <s v="P-2026-04-0076"/>
        <s v="P-2026-04-0077"/>
        <s v="P-2026-04-0078"/>
        <s v="P-2026-04-0079"/>
        <s v="P-2026-04-0080"/>
        <s v="P-2026-04-0081"/>
        <s v="P-2026-04-0082"/>
        <s v="P-2026-04-0083"/>
        <s v="P-2026-04-0084"/>
        <s v="P-2026-04-0085"/>
        <s v="P-2026-04-0086"/>
        <s v="P-2026-04-0087"/>
        <s v="P-2026-04-0088"/>
        <s v="P-2026-04-0089"/>
        <s v="P-2026-04-0090"/>
        <s v="P-2026-04-0091"/>
        <s v="P-2026-04-0092"/>
        <s v="P-2026-04-0093"/>
        <s v="P-2026-04-0094"/>
        <s v="P-2026-04-0095"/>
        <s v="P-2026-04-0096"/>
        <s v="P-2026-04-0097"/>
        <s v="P-2026-04-0098"/>
        <s v="P-2026-04-0099"/>
        <s v="P-2026-04-0100"/>
        <s v="P-2026-04-0101"/>
        <s v="P-2026-04-0102"/>
        <s v="P-2026-04-0103"/>
        <s v="P-2026-04-0104"/>
        <s v="P-2026-04-0105"/>
        <s v="P-2026-04-0106"/>
        <s v="P-2026-04-0107"/>
        <s v="P-2026-04-0108"/>
        <s v="P-2026-04-0109"/>
        <s v="P-2026-04-0110"/>
        <s v="P-2026-04-0111"/>
        <s v="P-2026-04-0112"/>
        <s v="P-2026-04-0113"/>
        <s v="P-2026-04-0114"/>
        <s v="P-2026-04-0115"/>
        <s v="P-2026-04-0116"/>
        <s v="P-2026-04-0117"/>
        <s v="P-2026-04-0118"/>
        <s v="P-2026-04-0119"/>
        <s v="P-2026-04-0120"/>
        <s v="P-2026-04-0121"/>
        <s v="P-2026-04-0122"/>
        <s v="P-2026-04-0123"/>
        <s v="P-2026-04-0124"/>
        <s v="P-2026-04-0125"/>
        <s v="P-2026-04-0126"/>
        <s v="P-2026-04-0127"/>
        <s v="P-2026-04-0128"/>
        <s v="P-2026-04-0129"/>
        <s v="P-2026-04-0130"/>
        <s v="P-2026-04-0131"/>
        <s v="P-2026-04-0132"/>
        <s v="P-2026-04-0133"/>
        <s v="P-2026-04-0134"/>
        <s v="P-2026-04-0135"/>
        <s v="P-2026-04-0136"/>
        <s v="P-2026-04-0137"/>
        <s v="P-2026-04-0138"/>
        <s v="P-2026-04-0139"/>
        <s v="P-2026-04-0140"/>
        <s v="P-2026-04-0141"/>
        <s v="P-2026-04-0142"/>
        <s v="P-2026-04-0143"/>
        <s v="P-2026-04-0144"/>
        <s v="P-2026-04-0145"/>
        <s v="P-2026-04-0146"/>
        <s v="P-2026-04-0147"/>
        <s v="P-2026-04-0148"/>
        <s v="P-2026-04-0149"/>
        <s v="P-2026-04-0150"/>
        <s v="P-2026-04-0151"/>
        <s v="P-2026-04-0152"/>
        <s v="P-2026-04-0153"/>
        <s v="P-2026-04-0154"/>
        <s v="P-2026-04-0155"/>
        <s v="P-2026-04-0156"/>
        <s v="P-2026-04-0157"/>
        <s v="P-2026-04-0158"/>
        <s v="P-2026-04-0159"/>
        <s v="P-2026-04-0160"/>
        <s v="P-2026-04-0161"/>
        <s v="P-2026-04-0162"/>
        <s v="P-2026-04-0163"/>
        <s v="P-2026-04-0164"/>
        <s v="P-2026-04-0165"/>
        <s v="P-2026-04-0166"/>
        <s v="P-2026-04-0167"/>
        <s v="P-2026-04-0168"/>
        <s v="P-2026-04-0169"/>
        <s v="P-2026-04-0170"/>
        <s v="P-2026-04-0171"/>
        <s v="P-2026-04-0172"/>
        <s v="P-2026-04-0173"/>
        <s v="P-2026-04-0174"/>
        <s v="P-2026-04-0175"/>
        <s v="P-2026-04-0176"/>
        <s v="P-2026-04-0177"/>
        <s v="P-2026-04-0178"/>
        <s v="P-2026-04-0179"/>
        <s v="P-2026-04-0180"/>
        <s v="P-2026-04-0181"/>
        <s v="P-2026-04-0182"/>
        <s v="P-2026-04-0183"/>
        <s v="P-2026-04-0184"/>
        <s v="P-2026-04-0185"/>
        <s v="P-2026-04-0186"/>
        <s v="P-2026-04-0187"/>
        <s v="P-2026-04-0188"/>
        <s v="P-2026-04-0189"/>
        <s v="P-2026-04-0190"/>
        <s v="P-2026-04-0191"/>
        <s v="P-2026-04-0192"/>
        <s v="P-2026-04-0193"/>
        <s v="P-2026-04-0194"/>
        <s v="P-2026-04-0195"/>
        <s v="P-2026-04-0196"/>
        <s v="P-2026-04-0197"/>
        <s v="P-2026-04-0198"/>
        <s v="P-2026-04-0199"/>
        <s v="P-2026-04-0200"/>
        <s v="P-2026-05-0201"/>
        <s v="P-2026-05-0202"/>
        <s v="P-2026-05-0203"/>
        <s v="P-2026-05-0204"/>
        <s v="P-2026-05-0205"/>
        <s v="P-2026-05-0206"/>
        <s v="P-2026-05-0207"/>
        <s v="P-2026-05-0208"/>
        <s v="P-2026-05-0209"/>
        <s v="P-2026-05-0210"/>
        <s v="P-2026-05-0211"/>
        <s v="P-2026-05-0212"/>
        <s v="P-2026-05-0213"/>
        <s v="P-2026-05-0214"/>
        <s v="P-2026-05-0215"/>
        <s v="P-2026-05-0216"/>
        <s v="P-2026-05-0217"/>
        <s v="P-2026-05-0218"/>
        <s v="P-2026-05-0219"/>
        <s v="P-2026-05-0220"/>
        <s v="P-2026-05-0221"/>
        <s v="P-2026-05-0222"/>
        <s v="P-2026-05-0223"/>
        <s v="P-2026-05-0224"/>
        <s v="P-2026-05-0225"/>
        <s v="P-2026-05-0226"/>
        <s v="P-2026-05-0227"/>
        <s v="P-2026-05-0228"/>
        <s v="P-2026-05-0229"/>
        <s v="P-2026-05-0230"/>
        <s v="P-2026-05-0231"/>
        <s v="P-2026-05-0232"/>
        <s v="P-2026-05-0233"/>
        <s v="P-2026-05-0234"/>
        <s v="P-2026-05-0235"/>
        <s v="P-2026-05-0236"/>
        <s v="P-2026-05-0237"/>
        <s v="P-2026-05-0238"/>
        <s v="P-2026-05-0239"/>
        <s v="P-2026-05-0240"/>
        <s v="P-2026-05-0241"/>
        <s v="P-2026-05-0242"/>
        <s v="P-2026-05-0243"/>
        <s v="P-2026-05-0244"/>
        <s v="P-2026-05-0245"/>
        <s v="P-2026-05-0246"/>
        <s v="P-2026-05-0247"/>
        <s v="P-2026-05-0248"/>
        <s v="P-2026-05-0249"/>
        <s v="P-2026-05-0250"/>
        <s v="P-2026-05-0251"/>
        <s v="P-2026-05-0252"/>
        <s v="P-2026-05-0253"/>
        <s v="P-2026-05-0254"/>
        <s v="P-2026-05-0255"/>
        <s v="P-2026-05-0256"/>
        <s v="P-2026-05-0257"/>
        <s v="P-2026-05-0258"/>
        <s v="P-2026-05-0259"/>
        <s v="P-2026-05-0260"/>
        <s v="P-2026-05-0261"/>
        <s v="P-2026-05-0262"/>
        <s v="P-2026-05-0263"/>
        <s v="P-2026-05-0264"/>
        <s v="P-2026-05-0265"/>
        <s v="P-2026-05-0266"/>
        <s v="P-2026-05-0267"/>
        <s v="P-2026-05-0268"/>
        <s v="P-2026-05-0269"/>
        <s v="P-2026-05-0270"/>
        <s v="P-2026-05-0271"/>
        <s v="P-2026-05-0272"/>
        <s v="P-2026-05-0273"/>
        <s v="P-2026-05-0274"/>
        <s v="P-2026-05-0275"/>
        <s v="P-2026-05-0276"/>
        <s v="P-2026-05-0277"/>
        <s v="P-2026-05-0278"/>
        <s v="P-2026-05-0279"/>
        <s v="P-2026-05-0280"/>
        <s v="P-2026-05-0281"/>
        <s v="P-2026-05-0282"/>
        <s v="P-2026-05-0283"/>
        <s v="P-2026-05-0284"/>
        <s v="P-2026-05-0285"/>
        <s v="P-2026-05-0286"/>
        <s v="P-2026-05-0287"/>
        <s v="P-2026-05-0288"/>
        <s v="P-2026-05-0289"/>
        <s v="P-2026-05-0290"/>
        <s v="P-2026-05-0291"/>
        <s v="P-2026-05-0292"/>
        <s v="P-2026-05-0293"/>
        <s v="P-2026-05-0294"/>
        <s v="P-2026-05-0295"/>
        <s v="P-2026-05-0296"/>
        <s v="P-2026-05-0297"/>
        <s v="P-2026-05-0298"/>
        <s v="P-2026-05-0299"/>
        <s v="P-2026-05-0300"/>
        <s v="P-2026-05-0301"/>
        <s v="P-2026-05-0302"/>
        <s v="P-2026-05-0303"/>
        <s v="P-2026-05-0304"/>
        <s v="P-2026-05-0305"/>
        <s v="P-2026-05-0306"/>
        <s v="P-2026-05-0307"/>
        <s v="P-2026-05-0308"/>
        <s v="P-2026-05-0309"/>
        <s v="P-2026-05-0310"/>
        <s v="P-2026-05-0311"/>
        <s v="P-2026-05-0312"/>
        <s v="P-2026-05-0313"/>
        <s v="P-2026-05-0314"/>
        <s v="P-2026-05-0315"/>
        <s v="P-2026-05-0316"/>
        <s v="P-2026-05-0317"/>
        <s v="P-2026-05-0318"/>
        <s v="P-2026-05-0319"/>
        <s v="P-2026-05-0320"/>
        <s v="P-2026-05-0321"/>
        <s v="P-2026-05-0322"/>
        <s v="P-2026-05-0323"/>
        <s v="P-2026-05-0324"/>
        <s v="P-2026-05-0325"/>
        <s v="P-2026-05-0326"/>
        <s v="P-2026-05-0327"/>
        <s v="P-2026-05-0328"/>
        <s v="P-2026-05-0329"/>
        <s v="P-2026-05-0330"/>
        <s v="P-2026-05-0331"/>
        <s v="P-2026-05-0332"/>
        <s v="P-2026-05-0333"/>
        <s v="P-2026-05-0334"/>
        <s v="P-2026-05-0335"/>
        <s v="P-2026-05-0336"/>
        <s v="P-2026-05-0337"/>
        <s v="P-2026-05-0338"/>
        <s v="P-2026-05-0339"/>
        <s v="P-2026-05-0340"/>
        <s v="P-2026-05-0341"/>
        <s v="P-2026-05-0342"/>
        <s v="P-2026-05-0343"/>
        <s v="P-2026-05-0344"/>
        <s v="P-2026-05-0345"/>
        <s v="P-2026-05-0346"/>
        <s v="P-2026-05-0347"/>
        <s v="P-2026-05-0348"/>
        <s v="P-2026-05-0349"/>
        <s v="P-2026-05-0350"/>
        <s v="P-2026-05-0351"/>
        <s v="P-2026-05-0352"/>
        <s v="P-2026-05-0353"/>
        <s v="P-2026-05-0354"/>
        <s v="P-2026-05-0355"/>
        <s v="P-2026-05-0356"/>
        <s v="P-2026-05-0357"/>
        <s v="P-2026-05-0358"/>
        <s v="P-2026-05-0359"/>
        <s v="P-2026-05-0360"/>
        <s v="P-2026-05-0361"/>
        <s v="P-2026-05-0362"/>
        <s v="P-2026-05-0363"/>
        <s v="P-2026-05-0364"/>
        <s v="P-2026-05-0365"/>
        <s v="P-2026-05-0366"/>
        <s v="P-2026-05-0367"/>
        <s v="P-2026-05-0368"/>
        <s v="P-2026-05-0369"/>
        <s v="P-2026-05-0370"/>
        <s v="P-2026-05-0371"/>
        <s v="P-2026-05-0372"/>
        <s v="P-2026-05-0373"/>
        <s v="P-2026-05-0374"/>
        <s v="P-2026-05-0375"/>
        <s v="P-2026-05-0376"/>
        <s v="P-2026-05-0377"/>
        <s v="P-2026-05-0378"/>
        <s v="P-2026-05-0379"/>
        <s v="P-2026-05-0380"/>
        <s v="P-2026-05-0381"/>
        <s v="P-2026-05-0382"/>
        <s v="P-2026-05-0383"/>
        <s v="P-2026-05-0384"/>
        <s v="P-2026-05-0385"/>
        <s v="P-2026-05-0386"/>
        <s v="P-2026-05-0387"/>
        <s v="P-2026-05-0388"/>
        <s v="P-2026-05-0389"/>
        <s v="P-2026-05-0390"/>
        <s v="P-2026-05-0391"/>
        <s v="P-2026-05-0392"/>
        <s v="P-2026-05-0393"/>
        <s v="P-2026-05-0394"/>
        <s v="P-2026-05-0395"/>
        <s v="P-2026-05-0396"/>
        <s v="P-2026-05-0397"/>
        <s v="P-2026-05-0398"/>
        <s v="P-2026-05-0399"/>
        <s v="P-2026-05-0400"/>
        <s v="P-2026-05-0401"/>
        <s v="P-2026-05-0402"/>
        <s v="P-2026-05-0403"/>
        <s v="P-2026-05-0404"/>
        <s v="P-2026-05-0405"/>
        <s v="P-2026-05-0406"/>
        <s v="P-2026-05-0407"/>
        <s v="P-2026-05-0408"/>
        <s v="P-2026-05-0409"/>
        <s v="P-2026-05-0410"/>
        <s v="P-2026-05-0411"/>
        <s v="P-2026-05-0412"/>
        <s v="P-2026-05-0413"/>
        <s v="P-2026-05-0414"/>
        <s v="P-2026-05-0415"/>
        <s v="P-2026-05-0416"/>
        <s v="P-2026-05-0417"/>
        <s v="P-2026-05-0418"/>
        <s v="P-2026-05-0419"/>
        <s v="P-2026-05-0420"/>
        <s v="P-2026-05-0421"/>
        <s v="P-2026-05-0422"/>
        <s v="P-2026-05-0423"/>
        <s v="P-2026-05-0424"/>
        <s v="P-2026-06-0425"/>
        <s v="P-2026-06-0426"/>
        <s v="P-2026-06-0427"/>
        <s v="P-2026-06-0428"/>
        <s v="P-2026-06-0429"/>
        <s v="P-2026-06-0430"/>
        <s v="P-2026-06-0431"/>
        <s v="P-2026-06-0432"/>
        <s v="P-2026-06-0433"/>
        <s v="P-2026-06-0434"/>
        <s v="P-2026-06-0435"/>
        <s v="P-2026-06-0436"/>
        <s v="P-2026-06-0437"/>
        <s v="P-2026-06-0438"/>
        <s v="P-2026-06-0439"/>
        <s v="P-2026-06-0440"/>
        <s v="P-2026-06-0441"/>
        <s v="P-2026-06-0442"/>
        <s v="P-2026-06-0443"/>
        <s v="P-2026-06-0444"/>
        <s v="P-2026-06-0445"/>
        <s v="P-2026-06-0446"/>
        <s v="P-2026-06-0447"/>
        <s v="P-2026-06-0448"/>
        <s v="P-2026-06-0449"/>
        <s v="P-2026-06-0450"/>
        <s v="P-2026-06-0451"/>
        <s v="P-2026-06-0452"/>
        <s v="P-2026-06-0453"/>
        <s v="P-2026-06-0454"/>
        <s v="P-2026-06-0455"/>
        <s v="P-2026-06-0456"/>
        <s v="P-2026-06-0457"/>
        <s v="P-2026-06-0458"/>
        <s v="P-2026-06-0459"/>
        <s v="P-2026-06-0460"/>
        <s v="P-2026-06-0461"/>
        <s v="P-2026-06-0462"/>
        <s v="P-2026-06-0463"/>
        <s v="P-2026-06-0464"/>
        <s v="P-2026-06-0465"/>
        <s v="P-2026-06-0466"/>
        <s v="P-2026-06-0467"/>
        <s v="P-2026-06-0468"/>
        <s v="P-2026-06-0469"/>
        <s v="P-2026-06-0470"/>
        <s v="P-2026-06-0471"/>
        <s v="P-2026-06-0472"/>
        <s v="P-2026-06-0473"/>
        <s v="P-2026-06-0474"/>
        <s v="P-2026-06-0475"/>
        <s v="P-2026-06-0476"/>
        <s v="P-2026-06-0477"/>
        <s v="P-2026-06-0478"/>
        <s v="P-2026-06-0479"/>
        <s v="P-2026-06-0480"/>
        <s v="P-2026-06-0481"/>
        <s v="P-2026-06-0482"/>
        <s v="P-2026-06-0483"/>
        <s v="P-2026-06-0484"/>
        <s v="P-2026-06-0485"/>
        <s v="P-2026-06-0486"/>
        <s v="P-2026-06-0487"/>
        <s v="P-2026-06-0488"/>
        <s v="P-2026-06-0489"/>
        <s v="P-2026-06-0490"/>
        <s v="P-2026-06-0491"/>
        <s v="P-2026-06-0492"/>
        <s v="P-2026-06-0493"/>
        <s v="P-2026-06-0494"/>
        <s v="P-2026-06-0495"/>
        <s v="P-2026-06-0496"/>
        <s v="P-2026-06-0497"/>
        <s v="P-2026-06-0498"/>
        <s v="P-2026-06-0499"/>
        <s v="P-2026-06-0500"/>
        <s v="P-2026-06-0501"/>
        <s v="P-2026-06-0502"/>
        <s v="P-2026-06-0503"/>
        <s v="P-2026-06-0504"/>
        <s v="P-2026-06-0505"/>
        <s v="P-2026-06-0506"/>
        <s v="P-2026-06-0507"/>
        <s v="P-2026-06-0508"/>
        <s v="P-2026-06-0509"/>
        <s v="P-2026-06-0510"/>
        <s v="P-2026-06-0511"/>
        <s v="P-2026-06-0512"/>
        <s v="P-2026-06-0513"/>
        <s v="P-2026-06-0514"/>
        <s v="P-2026-06-0515"/>
        <s v="P-2026-06-0516"/>
        <s v="P-2026-06-0517"/>
        <s v="P-2026-06-0518"/>
        <s v="P-2026-06-0519"/>
        <s v="P-2026-06-0520"/>
        <s v="P-2026-06-0521"/>
        <s v="P-2026-06-0522"/>
        <s v="P-2026-06-0523"/>
        <s v="P-2026-06-0524"/>
        <s v="P-2026-06-0525"/>
        <s v="P-2026-06-0526"/>
        <s v="P-2026-06-0527"/>
        <s v="P-2026-06-0528"/>
        <s v="P-2026-06-0529"/>
        <s v="P-2026-06-0530"/>
        <s v="P-2026-06-0531"/>
        <s v="P-2026-06-0532"/>
        <s v="P-2026-06-0533"/>
        <s v="P-2026-06-0534"/>
        <s v="P-2026-06-0535"/>
        <s v="P-2026-06-0536"/>
        <s v="P-2026-06-0537"/>
        <s v="P-2026-06-0538"/>
        <s v="P-2026-06-0539"/>
        <s v="P-2026-06-0540"/>
        <s v="P-2026-06-0541"/>
        <s v="P-2026-06-0542"/>
        <s v="P-2026-06-0543"/>
        <s v="P-2026-06-0544"/>
        <s v="P-2026-06-0545"/>
        <s v="P-2026-06-0546"/>
        <s v="P-2026-06-0547"/>
        <s v="P-2026-06-0548"/>
        <s v="P-2026-06-0549"/>
        <s v="P-2026-06-0550"/>
        <s v="P-2026-06-0551"/>
        <s v="P-2026-06-0552"/>
        <s v="P-2026-06-0553"/>
        <s v="P-2026-06-0554"/>
        <s v="P-2026-06-0555"/>
        <s v="P-2026-06-0556"/>
        <s v="P-2026-06-0557"/>
        <s v="P-2026-06-0558"/>
        <s v="P-2026-06-0559"/>
        <s v="P-2026-06-0560"/>
        <s v="P-2026-06-0561"/>
        <s v="P-2026-06-0562"/>
        <s v="P-2026-06-0563"/>
        <s v="P-2026-06-0564"/>
        <s v="P-2026-06-0565"/>
        <s v="P-2026-06-0566"/>
        <s v="P-2026-06-0567"/>
        <s v="P-2026-06-0568"/>
        <s v="P-2026-06-0569"/>
        <s v="P-2026-06-0570"/>
        <s v="P-2026-06-0571"/>
        <s v="P-2026-06-0572"/>
        <s v="P-2026-06-0573"/>
        <s v="P-2026-06-0574"/>
        <s v="P-2026-06-0575"/>
        <s v="P-2026-06-0576"/>
        <s v="P-2026-06-0577"/>
        <s v="P-2026-06-0578"/>
        <s v="P-2026-06-0579"/>
        <s v="P-2026-06-0580"/>
        <s v="P-2026-06-0581"/>
        <s v="P-2026-06-0582"/>
        <s v="P-2026-06-0583"/>
        <s v="P-2026-06-0584"/>
        <s v="P-2026-06-0585"/>
        <s v="P-2026-06-0586"/>
        <s v="P-2026-06-0587"/>
        <s v="P-2026-06-0588"/>
        <s v="P-2026-06-0589"/>
        <s v="P-2026-06-0590"/>
        <s v="P-2026-06-0591"/>
        <s v="P-2026-06-0592"/>
        <s v="P-2026-06-0593"/>
        <s v="P-2026-06-0594"/>
        <s v="P-2026-06-0595"/>
        <s v="P-2026-06-0596"/>
        <s v="P-2026-06-0597"/>
        <s v="P-2026-06-0598"/>
        <s v="P-2026-06-0599"/>
        <s v="P-2026-06-0600"/>
        <s v="P-2026-06-0601"/>
        <s v="P-2026-06-0602"/>
        <s v="P-2026-06-0603"/>
        <s v="P-2026-06-0604"/>
        <s v="P-2026-06-0605"/>
        <s v="P-2026-06-0606"/>
        <s v="P-2026-06-0607"/>
        <s v="P-2026-06-0608"/>
        <s v="P-2026-06-0609"/>
        <s v="P-2026-06-0610"/>
        <s v="P-2026-06-0611"/>
        <s v="P-2026-06-0612"/>
        <s v="P-2026-06-0613"/>
        <s v="P-2026-06-0614"/>
        <s v="P-2026-06-0615"/>
        <s v="P-2026-06-0616"/>
        <s v="P-2026-06-0617"/>
        <s v="P-2026-06-0618"/>
        <s v="P-2026-06-0619"/>
        <s v="P-2026-06-0620"/>
        <s v="P-2026-06-0621"/>
        <s v="P-2026-06-0622"/>
        <s v="P-2026-06-0623"/>
        <s v="P-2026-06-0624"/>
        <s v="P-2026-06-0625"/>
        <s v="P-2026-06-0626"/>
        <s v="P-2026-06-0627"/>
        <s v="P-2026-06-0628"/>
        <s v="P-2026-06-0629"/>
        <s v="P-2026-06-0630"/>
        <s v="P-2026-06-0631"/>
        <s v="P-2026-06-0632"/>
        <s v="P-2026-06-0633"/>
        <s v="P-2026-06-0634"/>
        <s v="P-2026-06-0635"/>
        <s v="P-2026-06-0636"/>
        <s v="P-2026-06-0637"/>
        <s v="P-2026-06-0638"/>
        <s v="P-2026-06-0639"/>
        <s v="P-2026-06-0640"/>
        <s v="P-2026-06-0641"/>
        <s v="P-2026-06-0642"/>
        <s v="P-2026-06-0643"/>
        <s v="P-2026-06-0644"/>
        <s v="P-2026-06-0645"/>
        <s v="P-2026-06-0646"/>
        <s v="P-2026-06-0647"/>
        <s v="P-2026-06-0648"/>
        <s v="P-2026-06-0649"/>
        <s v="P-2026-06-0650"/>
        <s v="P-2026-06-0651"/>
        <s v="P-2026-06-0652"/>
        <s v="P-2026-06-0653"/>
        <s v="P-2026-06-0654"/>
        <s v="P-2026-06-0655"/>
        <s v="P-2026-06-0656"/>
        <s v="P-2026-06-0657"/>
        <s v="P-2026-06-0658"/>
        <s v="P-2026-06-0659"/>
        <s v="P-2026-06-0660"/>
        <s v="P-2026-06-0661"/>
        <s v="P-2026-06-0662"/>
        <s v="P-2026-06-0663"/>
        <s v="P-2026-06-0664"/>
        <s v="P-2026-06-0665"/>
        <s v="P-2026-06-0666"/>
        <s v="P-2026-06-0667"/>
        <s v="P-2026-06-0668"/>
        <s v="P-2026-06-0669"/>
        <s v="P-2026-06-0670"/>
        <s v="P-2026-06-0671"/>
        <s v="P-2026-06-0672"/>
        <s v="P-2026-06-0673"/>
        <s v="P-2026-06-0674"/>
        <s v="P-2026-06-0675"/>
        <s v="P-2026-06-0676"/>
        <s v="P-2026-06-0677"/>
        <s v="P-2026-06-0678"/>
        <s v="P-2026-06-0679"/>
        <s v="P-2026-06-0680"/>
        <s v="P-2026-06-0681"/>
        <s v="P-2026-06-0682"/>
        <s v="P-2026-06-0683"/>
        <s v="P-2026-06-0684"/>
        <s v="P-2026-06-0685"/>
        <s v="P-2026-06-0686"/>
        <s v="P-2026-06-0687"/>
        <s v="P-2026-06-0688"/>
        <s v="P-2026-06-0689"/>
        <s v="P-2026-06-0690"/>
        <s v="P-2026-06-0691"/>
        <s v="P-2026-06-0692"/>
        <s v="P-2026-06-0693"/>
        <s v="P-2026-06-0694"/>
        <s v="P-2026-06-0695"/>
        <s v="P-2026-06-0696"/>
      </sharedItems>
    </cacheField>
    <cacheField name="data_pedido" numFmtId="164">
      <sharedItems containsSemiMixedTypes="0" containsDate="1" containsString="0">
        <d v="2026-04-01T00:00:00Z"/>
        <d v="2026-04-02T00:00:00Z"/>
        <d v="2026-04-03T00:00:00Z"/>
        <d v="2026-04-04T00:00:00Z"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4T00:00:00Z"/>
        <d v="2026-05-15T00:00:00Z"/>
        <d v="2026-05-16T00:00:00Z"/>
        <d v="2026-05-17T00:00:00Z"/>
        <d v="2026-05-18T00:00:00Z"/>
        <d v="2026-05-19T00:00:00Z"/>
        <d v="2026-05-20T00:00:00Z"/>
        <d v="2026-05-21T00:00:00Z"/>
        <d v="2026-05-22T00:00:00Z"/>
        <d v="2026-05-23T00:00:00Z"/>
        <d v="2026-05-24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</sharedItems>
    </cacheField>
    <cacheField name="Mês" numFmtId="165">
      <sharedItems>
        <s v="2026-04"/>
        <s v="2026-05"/>
        <s v="2026-06"/>
      </sharedItems>
    </cacheField>
    <cacheField name="data_entrega_prometida" numFmtId="164">
      <sharedItems containsSemiMixedTypes="0" containsDate="1" containsString="0">
        <d v="2026-04-28T00:00:00Z"/>
        <d v="2026-04-20T00:00:00Z"/>
        <d v="2026-04-17T00:00:00Z"/>
        <d v="2026-04-22T00:00:00Z"/>
        <d v="2026-04-16T00:00:00Z"/>
        <d v="2026-05-02T00:00:00Z"/>
        <d v="2026-04-27T00:00:00Z"/>
        <d v="2026-04-24T00:00:00Z"/>
        <d v="2026-04-23T00:00:00Z"/>
        <d v="2026-05-01T00:00:00Z"/>
        <d v="2026-04-30T00:00:00Z"/>
        <d v="2026-05-07T00:00:00Z"/>
        <d v="2026-05-05T00:00:00Z"/>
        <d v="2026-04-19T00:00:00Z"/>
        <d v="2026-05-03T00:00:00Z"/>
        <d v="2026-05-08T00:00:00Z"/>
        <d v="2026-05-10T00:00:00Z"/>
        <d v="2026-05-09T00:00:00Z"/>
        <d v="2026-04-25T00:00:00Z"/>
        <d v="2026-04-21T00:00:00Z"/>
        <d v="2026-04-26T00:00:00Z"/>
        <d v="2026-05-12T00:00:00Z"/>
        <d v="2026-04-29T00:00:00Z"/>
        <d v="2026-05-13T00:00:00Z"/>
        <d v="2026-05-06T00:00:00Z"/>
        <d v="2026-05-11T00:00:00Z"/>
        <d v="2026-05-17T00:00:00Z"/>
        <d v="2026-05-04T00:00:00Z"/>
        <d v="2026-05-16T00:00:00Z"/>
        <d v="2026-05-18T00:00:00Z"/>
        <d v="2026-05-14T00:00:00Z"/>
        <d v="2026-05-15T00:00:00Z"/>
        <d v="2026-05-19T00:00:00Z"/>
        <d v="2026-05-20T00:00:00Z"/>
        <d v="2026-05-21T00:00:00Z"/>
        <d v="2026-05-22T00:00:00Z"/>
        <d v="2026-05-23T00:00:00Z"/>
        <d v="2026-05-24T00:00:00Z"/>
        <d v="2026-05-27T00:00:00Z"/>
        <d v="2026-05-30T00:00:00Z"/>
        <d v="2026-05-25T00:00:00Z"/>
        <d v="2026-05-29T00:00:00Z"/>
        <d v="2026-05-26T00:00:00Z"/>
        <d v="2026-05-28T00:00:00Z"/>
        <d v="2026-06-01T00:00:00Z"/>
        <d v="2026-06-02T00:00:00Z"/>
        <d v="2026-06-06T00:00:00Z"/>
        <d v="2026-06-04T00:00:00Z"/>
        <d v="2026-06-07T00:00:00Z"/>
        <d v="2026-06-05T00:00:00Z"/>
        <d v="2026-06-03T00:00:00Z"/>
        <d v="2026-06-09T00:00:00Z"/>
        <d v="2026-05-31T00:00:00Z"/>
        <d v="2026-06-10T00:00:00Z"/>
        <d v="2026-06-12T00:00:00Z"/>
        <d v="2026-06-13T00:00:00Z"/>
        <d v="2026-06-15T00:00:00Z"/>
        <d v="2026-06-11T00:00:00Z"/>
        <d v="2026-06-14T00:00:00Z"/>
        <d v="2026-06-18T00:00:00Z"/>
        <d v="2026-06-16T00:00:00Z"/>
        <d v="2026-06-19T00:00:00Z"/>
        <d v="2026-06-17T00:00:00Z"/>
        <d v="2026-06-22T00:00:00Z"/>
        <d v="2026-06-08T00:00:00Z"/>
        <d v="2026-06-20T00:00:00Z"/>
        <d v="2026-06-23T00:00:00Z"/>
        <d v="2026-06-24T00:00:00Z"/>
        <d v="2026-06-21T00:00:00Z"/>
        <d v="2026-06-27T00:00:00Z"/>
        <d v="2026-06-25T00:00:00Z"/>
        <d v="2026-06-26T00:00:00Z"/>
        <d v="2026-06-28T00:00:00Z"/>
        <d v="2026-06-30T00:00:00Z"/>
        <d v="2026-07-01T00:00:00Z"/>
        <d v="2026-07-03T00:00:00Z"/>
        <d v="2026-07-04T00:00:00Z"/>
        <d v="2026-07-05T00:00:00Z"/>
        <d v="2026-06-29T00:00:00Z"/>
        <d v="2026-07-06T00:00:00Z"/>
        <d v="2026-07-02T00:00:00Z"/>
        <d v="2026-07-08T00:00:00Z"/>
        <d v="2026-07-07T00:00:00Z"/>
        <d v="2026-07-10T00:00:00Z"/>
        <d v="2026-07-09T00:00:00Z"/>
        <d v="2026-07-12T00:00:00Z"/>
        <d v="2026-07-13T00:00:00Z"/>
        <d v="2026-07-14T00:00:00Z"/>
        <d v="2026-07-15T00:00:00Z"/>
        <d v="2026-07-16T00:00:00Z"/>
        <d v="2026-07-17T00:00:00Z"/>
        <d v="2026-07-20T00:00:00Z"/>
        <d v="2026-07-18T00:00:00Z"/>
        <d v="2026-07-11T00:00:00Z"/>
        <d v="2026-07-19T00:00:00Z"/>
        <d v="2026-07-21T00:00:00Z"/>
        <d v="2026-07-23T00:00:00Z"/>
        <d v="2026-07-24T00:00:00Z"/>
        <d v="2026-07-25T00:00:00Z"/>
        <d v="2026-07-26T00:00:00Z"/>
        <d v="2026-07-28T00:00:00Z"/>
        <d v="2026-07-22T00:00:00Z"/>
        <d v="2026-07-27T00:00:00Z"/>
        <d v="2026-07-30T00:00:00Z"/>
        <d v="2026-07-29T00:00:00Z"/>
        <d v="2026-08-02T00:00:00Z"/>
        <d v="2026-07-31T00:00:00Z"/>
        <d v="2026-08-03T00:00:00Z"/>
        <d v="2026-08-04T00:00:00Z"/>
        <d v="2026-08-01T00:00:00Z"/>
      </sharedItems>
    </cacheField>
    <cacheField name="data_entrega_real" numFmtId="164">
      <sharedItems containsDate="1" containsString="0" containsBlank="1">
        <d v="2026-04-30T00:00:00Z"/>
        <d v="2026-04-28T00:00:00Z"/>
        <d v="2026-04-18T00:00:00Z"/>
        <d v="2026-04-24T00:00:00Z"/>
        <d v="2026-04-14T00:00:00Z"/>
        <d v="2026-05-01T00:00:00Z"/>
        <d v="2026-04-19T00:00:00Z"/>
        <m/>
        <d v="2026-04-21T00:00:00Z"/>
        <d v="2026-05-11T00:00:00Z"/>
        <d v="2026-05-09T00:00:00Z"/>
        <d v="2026-05-14T00:00:00Z"/>
        <d v="2026-04-20T00:00:00Z"/>
        <d v="2026-05-05T00:00:00Z"/>
        <d v="2026-04-27T00:00:00Z"/>
        <d v="2026-05-10T00:00:00Z"/>
        <d v="2026-05-06T00:00:00Z"/>
        <d v="2026-05-04T00:00:00Z"/>
        <d v="2026-04-29T00:00:00Z"/>
        <d v="2026-05-08T00:00:00Z"/>
        <d v="2026-05-03T00:00:00Z"/>
        <d v="2026-04-23T00:00:00Z"/>
        <d v="2026-05-07T00:00:00Z"/>
        <d v="2026-05-16T00:00:00Z"/>
        <d v="2026-04-26T00:00:00Z"/>
        <d v="2026-04-25T00:00:00Z"/>
        <d v="2026-05-12T00:00:00Z"/>
        <d v="2026-05-15T00:00:00Z"/>
        <d v="2026-05-02T00:00:00Z"/>
        <d v="2026-05-19T00:00:00Z"/>
        <d v="2026-05-17T00:00:00Z"/>
        <d v="2026-05-18T00:00:00Z"/>
        <d v="2026-05-21T00:00:00Z"/>
        <d v="2026-05-24T00:00:00Z"/>
        <d v="2026-06-01T00:00:00Z"/>
        <d v="2026-05-13T00:00:00Z"/>
        <d v="2026-05-20T00:00:00Z"/>
        <d v="2026-05-25T00:00:00Z"/>
        <d v="2026-05-26T00:00:00Z"/>
        <d v="2026-05-28T00:00:00Z"/>
        <d v="2026-05-29T00:00:00Z"/>
        <d v="2026-05-27T00:00:00Z"/>
        <d v="2026-06-07T00:00:00Z"/>
        <d v="2026-05-23T00:00:00Z"/>
        <d v="2026-05-30T00:00:00Z"/>
        <d v="2026-06-02T00:00:00Z"/>
        <d v="2026-05-22T00:00:00Z"/>
        <d v="2026-06-03T00:00:00Z"/>
        <d v="2026-06-10T00:00:00Z"/>
        <d v="2026-06-05T00:00:00Z"/>
        <d v="2026-06-08T00:00:00Z"/>
        <d v="2026-06-04T00:00:00Z"/>
        <d v="2026-06-06T00:00:00Z"/>
        <d v="2026-05-31T00:00:00Z"/>
        <d v="2026-06-17T00:00:00Z"/>
        <d v="2026-06-12T00:00:00Z"/>
        <d v="2026-06-14T00:00:00Z"/>
        <d v="2026-06-09T00:00:00Z"/>
        <d v="2026-06-15T00:00:00Z"/>
        <d v="2026-06-21T00:00:00Z"/>
        <d v="2026-06-13T00:00:00Z"/>
        <d v="2026-06-11T00:00:00Z"/>
        <d v="2026-06-18T00:00:00Z"/>
        <d v="2026-06-25T00:00:00Z"/>
        <d v="2026-06-16T00:00:00Z"/>
        <d v="2026-06-19T00:00:00Z"/>
        <d v="2026-06-23T00:00:00Z"/>
        <d v="2026-06-28T00:00:00Z"/>
        <d v="2026-06-20T00:00:00Z"/>
        <d v="2026-06-22T00:00:00Z"/>
        <d v="2026-06-24T00:00:00Z"/>
        <d v="2026-06-27T00:00:00Z"/>
        <d v="2026-07-04T00:00:00Z"/>
        <d v="2026-06-30T00:00:00Z"/>
        <d v="2026-06-26T00:00:00Z"/>
        <d v="2026-07-03T00:00:00Z"/>
        <d v="2026-07-08T00:00:00Z"/>
        <d v="2026-07-05T00:00:00Z"/>
        <d v="2026-07-01T00:00:00Z"/>
        <d v="2026-06-29T00:00:00Z"/>
        <d v="2026-07-09T00:00:00Z"/>
        <d v="2026-07-06T00:00:00Z"/>
        <d v="2026-07-02T00:00:00Z"/>
        <d v="2026-07-10T00:00:00Z"/>
        <d v="2026-07-20T00:00:00Z"/>
        <d v="2026-07-07T00:00:00Z"/>
        <d v="2026-07-14T00:00:00Z"/>
        <d v="2026-07-15T00:00:00Z"/>
        <d v="2026-07-11T00:00:00Z"/>
        <d v="2026-07-12T00:00:00Z"/>
        <d v="2026-07-13T00:00:00Z"/>
        <d v="2026-07-19T00:00:00Z"/>
        <d v="2026-07-17T00:00:00Z"/>
        <d v="2026-07-18T00:00:00Z"/>
        <d v="2026-07-21T00:00:00Z"/>
        <d v="2026-07-16T00:00:00Z"/>
        <d v="2026-07-23T00:00:00Z"/>
        <d v="2026-08-01T00:00:00Z"/>
        <d v="2026-07-24T00:00:00Z"/>
        <d v="2026-07-25T00:00:00Z"/>
        <d v="2026-08-03T00:00:00Z"/>
        <d v="2026-07-31T00:00:00Z"/>
        <d v="2026-07-29T00:00:00Z"/>
        <d v="2026-07-27T00:00:00Z"/>
        <d v="2026-07-26T00:00:00Z"/>
        <d v="2026-07-22T00:00:00Z"/>
        <d v="2026-08-04T00:00:00Z"/>
        <d v="2026-07-30T00:00:00Z"/>
        <d v="2026-07-28T00:00:00Z"/>
        <d v="2026-08-05T00:00:00Z"/>
        <d v="2026-08-12T00:00:00Z"/>
      </sharedItems>
    </cacheField>
    <cacheField name="cliente_codigo" numFmtId="0">
      <sharedItems>
        <s v="C-0002"/>
        <s v="C-0014"/>
        <s v="C-0044"/>
        <s v="C-0082"/>
        <s v="C-0094"/>
        <s v="C-0001"/>
        <s v="C-0003"/>
        <s v="C-0037"/>
        <s v="C-0038"/>
        <s v="C-0052"/>
        <s v="C-0068"/>
        <s v="C-0081"/>
        <s v="C-0098"/>
        <s v="C-0100"/>
        <s v="C-0040"/>
        <s v="C-0055"/>
        <s v="C-0056"/>
        <s v="C-0059"/>
        <s v="C-0067"/>
        <s v="C-0008"/>
        <s v="C-0023"/>
        <s v="C-0024"/>
        <s v="C-0042"/>
        <s v="C-0048"/>
        <s v="C-0074"/>
        <s v="C-0005"/>
        <s v="C-0012"/>
        <s v="C-0021"/>
        <s v="C-0025"/>
        <s v="C-0062"/>
        <s v="C-0066"/>
        <s v="C-0077"/>
        <s v="C-0093"/>
        <s v="C-0036"/>
        <s v="C-0046"/>
        <s v="C-0051"/>
        <s v="C-0065"/>
        <s v="C-0072"/>
        <s v="C-0086"/>
        <s v="C-0004"/>
        <s v="C-0031"/>
        <s v="C-0070"/>
        <s v="C-0080"/>
        <s v="C-0019"/>
        <s v="C-0035"/>
        <s v="C-0057"/>
        <s v="C-0084"/>
        <s v="C-0097"/>
        <s v="C-0010"/>
        <s v="C-0069"/>
        <s v="C-0075"/>
        <s v="C-0078"/>
        <s v="C-0088"/>
        <s v="C-0083"/>
        <s v="C-0006"/>
        <s v="C-0011"/>
        <s v="C-0018"/>
        <s v="C-0026"/>
        <s v="C-0029"/>
        <s v="C-0058"/>
        <s v="C-0076"/>
        <s v="C-0009"/>
        <s v="C-0063"/>
        <s v="C-0091"/>
        <s v="C-0085"/>
        <s v="C-0017"/>
        <s v="C-0028"/>
        <s v="C-0034"/>
        <s v="C-0043"/>
        <s v="C-0050"/>
        <s v="C-0060"/>
        <s v="C-0061"/>
        <s v="C-0013"/>
        <s v="C-0045"/>
        <s v="C-0087"/>
        <s v="C-0027"/>
        <s v="C-0030"/>
        <s v="C-0039"/>
        <s v="C-0096"/>
        <s v="C-0007"/>
        <s v="C-0032"/>
        <s v="C-0054"/>
        <s v="C-0064"/>
        <s v="C-0079"/>
        <s v="C-0089"/>
        <s v="C-0033"/>
        <s v="C-0053"/>
        <s v="C-0073"/>
        <s v="C-0099"/>
        <s v="C-0015"/>
        <s v="C-0022"/>
        <s v="C-0047"/>
        <s v="C-0095"/>
        <s v="C-0016"/>
        <s v="C-0041"/>
        <s v="C-0071"/>
        <s v="C-0090"/>
        <s v="C-0020"/>
        <s v="C-0092"/>
        <s v="C-0049"/>
      </sharedItems>
    </cacheField>
    <cacheField name="nome_cliente" numFmtId="0">
      <sharedItems>
        <s v="NorteAgro"/>
        <s v="Vale Norte Atacarejo"/>
        <s v="Mercado Vale Ltda"/>
        <s v="EssenciaPura EPP"/>
        <s v="Laticínios Boa Vista ME"/>
        <s v="AgroMar"/>
        <s v="Nova Era Cosméticos"/>
        <s v="PackExpress Cooperativa"/>
        <s v="Doce Vale"/>
        <s v="Distrib. Litoral Sul Ltda"/>
        <s v="Vita Floral S.A."/>
        <s v="Tradição Alimentos Comércio"/>
        <s v="Atacadão Centro Oeste S.A."/>
        <s v="Mercado Vale Ltda (Londrina)"/>
        <s v="Varejo Familiar Ltda"/>
        <s v="Granoma Alimentos S.A."/>
        <s v="Supermercados Vivo EPP"/>
        <s v="Nutrigrão Comércio"/>
        <s v="Solene Cosméticos Ltda (São Paulo)"/>
        <s v="Bell Beauty"/>
        <s v="Mercado Vale"/>
        <s v="Atacarejo Maringá"/>
        <s v="EssenciaPura Comércio"/>
        <s v="Mercatto S.A."/>
        <s v="Farmalivre Indústria"/>
        <s v="Distribuidora Sul PR"/>
        <s v="Mercosul Atacado"/>
        <s v="Atacadão Centro Oeste"/>
        <s v="Vivê Beauty"/>
        <s v="Mercatto Comércio"/>
        <s v="EnviaTudo Cooperativa (Joinville)"/>
        <s v="PackExpress S.A."/>
        <s v="RotaFácil Comércio"/>
        <s v="EnviaTudo Cooperativa"/>
        <s v="EnviaTudo Comércio"/>
        <s v="Biolatina Indústria EPP"/>
        <s v="Granoma Alimentos EPP"/>
        <s v="PackExpress Ltda"/>
        <s v="Sirena Perfumaria S.A."/>
        <s v="CoopFrigo"/>
        <s v="Comercial Bandeirantes"/>
        <s v="Sabor Forte Alimentos Indústria"/>
        <s v="Cherie Cosméticos Ltda"/>
        <s v="Padaria Aurora"/>
        <s v="Biolatina Indústria Cooperativa"/>
        <s v="Solene Cosméticos Ltda"/>
        <s v="Laticínios Boa Vista EPP"/>
        <s v="Saúde Total Labs S.A."/>
        <s v="Distribuidora Oeste"/>
        <s v="Lumen Beauty"/>
        <s v="Granoma Alimentos Cooperativa"/>
        <s v="Doce Vale ME"/>
        <s v="Doce Vale Comércio"/>
        <s v="Mercosul Comércio S.A."/>
        <s v="CoopVale"/>
        <s v="BioGenova"/>
        <s v="Bom Sabor Alimentos"/>
        <s v="Sabor da Terra"/>
        <s v="Salutar Farma Comércio"/>
        <s v="Distribuidora Sul Sul Ltda"/>
        <s v="Ciência da Vida Farma ME"/>
        <s v="LogiPack"/>
        <s v="Distrib. Litoral Sul S.A."/>
        <s v="FreteFix Comércio"/>
        <s v="Granoma Alimentos Indústria"/>
        <s v="EnvioFácil"/>
        <s v="Ciência da Vida Farma"/>
        <s v="Mercatto Indústria"/>
        <s v="Rede Vita ME"/>
        <s v="Mercosul Comércio EPP"/>
        <s v="EntregaCerta ME"/>
        <s v="Mercosul Comércio EPP (Joinville)"/>
        <s v="Aromatic"/>
        <s v="Vivê Beauty ME"/>
        <s v="Indústria Caraíbas ME"/>
        <s v="DistribuPlus"/>
        <s v="Sabor Forte Alimentos"/>
        <s v="Nutrigrão Cooperativa"/>
        <s v="Distrib. Litoral Sul EPP"/>
        <s v="Farmavida"/>
        <s v="Coopercana ME"/>
        <s v="Laticínios Boa Vista Comércio"/>
        <s v="Floratta Cosméticos S.A."/>
        <s v="Lumen Beauty EPP"/>
        <s v="Saúde Total Labs Comércio"/>
        <s v="Distrib. Tropical Ltda"/>
        <s v="RotaFácil S.A."/>
        <s v="BeautyLab S.A."/>
        <s v="Lumen Beauty EPP (Apucarana)"/>
        <s v="Naturalle"/>
        <s v="EssenciaPura"/>
        <s v="Varejo Familiar Ltda (Foz do Iguaçu)"/>
        <s v="MedPlus Indústria Cooperativa"/>
        <s v="Supermercados Avenida"/>
        <s v="Mercatto ME"/>
        <s v="DistribuPlus Ltda"/>
        <s v="Sabor Forte Alimentos Comércio"/>
        <s v="Padaria do Seu Joaquim"/>
        <s v="EssenciaPura EPP (Cascavel)"/>
        <s v="Nutrigrão ME"/>
      </sharedItems>
    </cacheField>
    <cacheField name="segmento" numFmtId="0">
      <sharedItems>
        <s v="alimenticio"/>
        <s v="varejo"/>
        <s v="cosmetico"/>
        <s v="ecommerce"/>
        <s v="distribuidor"/>
        <s v="farmaceutico"/>
        <s v="outros"/>
        <s v="logistica"/>
      </sharedItems>
    </cacheField>
    <cacheField name="vendedor_codigo" numFmtId="0">
      <sharedItems>
        <s v="V-003"/>
        <s v="V-006"/>
        <s v="V-004"/>
        <s v="V-COR"/>
        <s v="V-002"/>
        <s v="V-005"/>
        <s v="V-001"/>
        <s v="V-007"/>
      </sharedItems>
    </cacheField>
    <cacheField name="qtd_linhas" numFmtId="0">
      <sharedItems containsSemiMixedTypes="0" containsString="0" containsNumber="1" containsInteger="1">
        <n v="2.0"/>
        <n v="1.0"/>
        <n v="3.0"/>
      </sharedItems>
    </cacheField>
    <cacheField name="valor_total" numFmtId="166">
      <sharedItems containsSemiMixedTypes="0" containsString="0" containsNumber="1">
        <n v="122923.0"/>
        <n v="57383.2"/>
        <n v="26670.0"/>
        <n v="4321.4"/>
        <n v="8463.0"/>
        <n v="171854.4"/>
        <n v="208862.0"/>
        <n v="17878.0"/>
        <n v="7442.4"/>
        <n v="5331.2"/>
        <n v="15404.6"/>
        <n v="5777.1"/>
        <n v="15100.4"/>
        <n v="10835.5"/>
        <n v="1906.8"/>
        <n v="116524.8"/>
        <n v="7575.1"/>
        <n v="67485.6"/>
        <n v="4710.3"/>
        <n v="31209.0"/>
        <n v="3404.0"/>
        <n v="168167.2"/>
        <n v="5622.4"/>
        <n v="29425.2"/>
        <n v="10421.0"/>
        <n v="4432.4"/>
        <n v="9490.0"/>
        <n v="3948.0"/>
        <n v="242474.6"/>
        <n v="108715.9"/>
        <n v="13162.8"/>
        <n v="6868.4"/>
        <n v="2954.0"/>
        <n v="61602.8"/>
        <n v="8765.4"/>
        <n v="11289.9"/>
        <n v="11629.8"/>
        <n v="4885.1"/>
        <n v="2548.0"/>
        <n v="2629.2"/>
        <n v="8384.1"/>
        <n v="3144.4"/>
        <n v="30891.0"/>
        <n v="13434.4"/>
        <n v="17102.4"/>
        <n v="5684.0"/>
        <n v="81223.8"/>
        <n v="16962.4"/>
        <n v="4494.0"/>
        <n v="4088.5"/>
        <n v="12184.2"/>
        <n v="15989.0"/>
        <n v="204475.2"/>
        <n v="3567.2"/>
        <n v="9809.0"/>
        <n v="8195.4"/>
        <n v="7031.0"/>
        <n v="34913.2"/>
        <n v="11603.3"/>
        <n v="47829.6"/>
        <n v="16363.2"/>
        <n v="5803.8"/>
        <n v="16718.8"/>
        <n v="4759.0"/>
        <n v="13832.4"/>
        <n v="4527.6"/>
        <n v="62933.0"/>
        <n v="132787.2"/>
        <n v="45372.6"/>
        <n v="25676.9"/>
        <n v="7638.4"/>
        <n v="9475.2"/>
        <n v="11264.4"/>
        <n v="10920.8"/>
        <n v="5863.2"/>
        <n v="226367.7"/>
        <n v="50065.4"/>
        <n v="40537.0"/>
        <n v="16464.0"/>
        <n v="21128.6"/>
        <n v="61298.6"/>
        <n v="18106.2"/>
        <n v="5128.2"/>
        <n v="28029.4"/>
        <n v="172611.2"/>
        <n v="21517.0"/>
        <n v="7285.9"/>
        <n v="6412.0"/>
        <n v="16333.8"/>
        <n v="9460.9"/>
        <n v="9710.4"/>
        <n v="21873.6"/>
        <n v="31634.4"/>
        <n v="55383.6"/>
        <n v="72466.8"/>
        <n v="86170.5"/>
        <n v="7449.4"/>
        <n v="47426.4"/>
        <n v="10006.2"/>
        <n v="9539.4"/>
        <n v="8200.7"/>
        <n v="30413.6"/>
        <n v="6245.4"/>
        <n v="15706.0"/>
        <n v="50685.6"/>
        <n v="30982.0"/>
        <n v="40712.7"/>
        <n v="3243.5"/>
        <n v="7741.5"/>
        <n v="28756.6"/>
        <n v="6566.9"/>
        <n v="14435.4"/>
        <n v="11393.2"/>
        <n v="10068.8"/>
        <n v="31712.8"/>
        <n v="120804.6"/>
        <n v="2461.2"/>
        <n v="3326.8"/>
        <n v="18146.8"/>
        <n v="24017.5"/>
        <n v="7408.8"/>
        <n v="8049.9"/>
        <n v="10483.2"/>
        <n v="65566.2"/>
        <n v="14076.0"/>
        <n v="230503.8"/>
        <n v="14789.6"/>
        <n v="3969.0"/>
        <n v="9904.4"/>
        <n v="7432.5"/>
        <n v="14183.9"/>
        <n v="22521.8"/>
        <n v="4960.6"/>
        <n v="11495.4"/>
        <n v="319004.6"/>
        <n v="5843.6"/>
        <n v="13671.4"/>
        <n v="126919.0"/>
        <n v="16150.2"/>
        <n v="8223.6"/>
        <n v="26678.4"/>
        <n v="5051.9"/>
        <n v="2926.6"/>
        <n v="97492.9"/>
        <n v="21130.4"/>
        <n v="4428.2"/>
        <n v="26397.6"/>
        <n v="28501.2"/>
        <n v="2853.2"/>
        <n v="16843.4"/>
        <n v="9520.0"/>
        <n v="1841.4"/>
        <n v="16707.6"/>
        <n v="15678.6"/>
        <n v="16132.2"/>
        <n v="92901.6"/>
        <n v="6900.6"/>
        <n v="7641.2"/>
        <n v="6341.0"/>
        <n v="43225.7"/>
        <n v="29755.2"/>
        <n v="20727.0"/>
        <n v="7959.0"/>
        <n v="13448.4"/>
        <n v="174816.0"/>
        <n v="49068.5"/>
        <n v="4804.8"/>
        <n v="8506.4"/>
        <n v="10956.4"/>
        <n v="23992.0"/>
        <n v="38919.8"/>
        <n v="8481.2"/>
        <n v="18011.5"/>
        <n v="12108.9"/>
        <n v="16336.6"/>
        <n v="22819.2"/>
        <n v="22033.2"/>
        <n v="20182.4"/>
        <n v="147706.6"/>
        <n v="97686.2"/>
        <n v="4116.0"/>
        <n v="22092.0"/>
        <n v="11089.0"/>
        <n v="10364.2"/>
        <n v="82987.8"/>
        <n v="8789.2"/>
        <n v="12805.0"/>
        <n v="34174.0"/>
        <n v="4062.8"/>
        <n v="16367.4"/>
        <n v="4818.8"/>
        <n v="50386.0"/>
        <n v="11354.0"/>
        <n v="20745.2"/>
        <n v="13494.6"/>
        <n v="30760.5"/>
        <n v="31470.4"/>
        <n v="6774.6"/>
        <n v="11149.2"/>
        <n v="54529.2"/>
        <n v="14805.0"/>
        <n v="4649.4"/>
        <n v="3046.8"/>
        <n v="12412.4"/>
        <n v="19467.5"/>
        <n v="12066.6"/>
        <n v="2967.6"/>
        <n v="6018.0"/>
        <n v="15493.0"/>
        <n v="132188.0"/>
        <n v="37408.8"/>
        <n v="60673.2"/>
        <n v="122147.6"/>
        <n v="8716.4"/>
        <n v="10325.8"/>
        <n v="3481.8"/>
        <n v="258564.8"/>
        <n v="92106.0"/>
        <n v="7095.2"/>
        <n v="47051.6"/>
        <n v="2562.0"/>
        <n v="8094.8"/>
        <n v="6416.9"/>
        <n v="9151.8"/>
        <n v="39537.4"/>
        <n v="13358.0"/>
        <n v="521684.0"/>
        <n v="141895.0"/>
        <n v="87763.0"/>
        <n v="8204.0"/>
        <n v="68037.4"/>
        <n v="10113.6"/>
        <n v="15001.8"/>
        <n v="7585.2"/>
        <n v="139845.8"/>
        <n v="86158.8"/>
        <n v="76171.2"/>
        <n v="8030.4"/>
        <n v="23186.8"/>
        <n v="41422.2"/>
        <n v="5612.6"/>
        <n v="5320.0"/>
        <n v="40625.2"/>
        <n v="34200.6"/>
        <n v="75835.2"/>
        <n v="36275.4"/>
        <n v="18611.6"/>
        <n v="11191.6"/>
        <n v="21240.9"/>
        <n v="11827.2"/>
        <n v="8635.2"/>
        <n v="6224.4"/>
        <n v="10584.0"/>
        <n v="22125.4"/>
        <n v="11841.5"/>
        <n v="20818.0"/>
        <n v="31321.6"/>
        <n v="9238.2"/>
        <n v="30144.8"/>
        <n v="53060.3"/>
        <n v="9665.6"/>
        <n v="5742.8"/>
        <n v="8486.4"/>
        <n v="24100.8"/>
        <n v="13152.4"/>
        <n v="9145.5"/>
        <n v="13907.4"/>
        <n v="24028.2"/>
        <n v="24378.0"/>
        <n v="9633.0"/>
        <n v="36988.0"/>
        <n v="67228.0"/>
        <n v="15478.4"/>
        <n v="10342.8"/>
        <n v="18120.4"/>
        <n v="8910.3"/>
        <n v="18641.2"/>
        <n v="68319.6"/>
        <n v="15676.8"/>
        <n v="33234.5"/>
        <n v="9612.3"/>
        <n v="48805.4"/>
        <n v="260416.8"/>
        <n v="18894.2"/>
        <n v="6377.0"/>
        <n v="4914.0"/>
        <n v="83864.2"/>
        <n v="7102.2"/>
        <n v="6048.0"/>
        <n v="20035.4"/>
        <n v="8692.4"/>
        <n v="10073.3"/>
        <n v="14616.6"/>
        <n v="4819.2"/>
        <n v="30059.4"/>
        <n v="4648.0"/>
        <n v="5853.4"/>
        <n v="45063.2"/>
        <n v="68689.4"/>
        <n v="59060.4"/>
        <n v="64775.2"/>
        <n v="28072.8"/>
        <n v="5429.2"/>
        <n v="17926.7"/>
        <n v="10752.3"/>
        <n v="22127.2"/>
        <n v="5163.6"/>
        <n v="3739.2"/>
        <n v="114785.0"/>
        <n v="11478.6"/>
        <n v="11993.4"/>
        <n v="8854.6"/>
        <n v="27749.4"/>
        <n v="14015.4"/>
        <n v="47596.6"/>
        <n v="18603.2"/>
        <n v="51825.2"/>
        <n v="6997.2"/>
        <n v="5003.9"/>
        <n v="11849.5"/>
        <n v="10264.8"/>
        <n v="9047.4"/>
        <n v="9541.0"/>
        <n v="20895.7"/>
        <n v="6861.2"/>
        <n v="19759.6"/>
        <n v="170734.4"/>
        <n v="127459.5"/>
        <n v="58164.4"/>
        <n v="7718.0"/>
        <n v="19975.2"/>
        <n v="6930.0"/>
        <n v="5892.6"/>
        <n v="70697.2"/>
        <n v="19041.4"/>
        <n v="5363.4"/>
        <n v="18118.8"/>
        <n v="1668.3"/>
        <n v="9136.4"/>
        <n v="7148.4"/>
        <n v="237431.0"/>
        <n v="83015.8"/>
        <n v="4221.0"/>
        <n v="23997.0"/>
        <n v="84350.6"/>
        <n v="20692.1"/>
        <n v="35061.6"/>
        <n v="28568.4"/>
        <n v="10053.5"/>
        <n v="9727.2"/>
        <n v="32558.4"/>
        <n v="33800.3"/>
        <n v="182117.6"/>
        <n v="41632.5"/>
        <n v="9814.0"/>
        <n v="8422.4"/>
        <n v="4277.0"/>
        <n v="12722.0"/>
        <n v="34209.0"/>
        <n v="12231.9"/>
        <n v="274604.4"/>
        <n v="106385.8"/>
        <n v="145254.8"/>
        <n v="44087.4"/>
        <n v="89464.2"/>
        <n v="216419.7"/>
        <n v="9262.4"/>
        <n v="14353.0"/>
        <n v="12797.2"/>
        <n v="25307.0"/>
        <n v="4262.8"/>
        <n v="45561.6"/>
        <n v="12230.4"/>
        <n v="13858.2"/>
        <n v="27852.0"/>
        <n v="14139.2"/>
        <n v="8955.9"/>
        <n v="100157.2"/>
        <n v="87658.2"/>
        <n v="12129.3"/>
        <n v="13792.8"/>
        <n v="27431.2"/>
        <n v="14521.6"/>
        <n v="4729.2"/>
        <n v="129648.4"/>
        <n v="14103.2"/>
        <n v="11381.2"/>
        <n v="9931.6"/>
        <n v="17343.2"/>
        <n v="6130.8"/>
        <n v="6632.6"/>
        <n v="26045.6"/>
        <n v="181990.6"/>
        <n v="2678.0"/>
        <n v="14935.8"/>
        <n v="23814.0"/>
        <n v="24987.9"/>
        <n v="6994.0"/>
        <n v="15691.2"/>
        <n v="17721.2"/>
        <n v="4494.2"/>
        <n v="7695.8"/>
        <n v="6041.8"/>
        <n v="6465.2"/>
        <n v="10253.6"/>
        <n v="124918.8"/>
        <n v="40455.8"/>
        <n v="8848.0"/>
        <n v="3495.8"/>
        <n v="10203.2"/>
        <n v="5357.6"/>
        <n v="6168.5"/>
        <n v="5107.8"/>
        <n v="24836.5"/>
        <n v="7483.0"/>
        <n v="8185.8"/>
        <n v="7473.2"/>
        <n v="6045.2"/>
        <n v="89649.0"/>
        <n v="6816.2"/>
        <n v="22521.1"/>
        <n v="18404.4"/>
        <n v="22582.6"/>
        <n v="5857.6"/>
        <n v="4473.3"/>
        <n v="6531.4"/>
        <n v="2749.5"/>
        <n v="22089.9"/>
        <n v="11454.6"/>
        <n v="6071.1"/>
        <n v="8416.8"/>
        <n v="2214.8"/>
        <n v="6393.8"/>
        <n v="17168.5"/>
        <n v="20528.3"/>
        <n v="12461.0"/>
        <n v="32955.4"/>
        <n v="16698.5"/>
        <n v="46337.2"/>
        <n v="14045.2"/>
        <n v="43536.4"/>
        <n v="2661.5"/>
        <n v="9591.4"/>
        <n v="10761.6"/>
        <n v="9750.8"/>
        <n v="24649.8"/>
        <n v="340860.0"/>
        <n v="149546.7"/>
        <n v="35855.7"/>
        <n v="64005.5"/>
        <n v="30374.4"/>
        <n v="3420.3"/>
        <n v="25383.2"/>
        <n v="9348.1"/>
        <n v="35506.8"/>
        <n v="35520.8"/>
        <n v="4570.8"/>
        <n v="14251.9"/>
        <n v="5285.0"/>
        <n v="633458.2"/>
        <n v="221469.4"/>
        <n v="208166.1"/>
        <n v="19538.4"/>
        <n v="18226.0"/>
        <n v="5359.2"/>
        <n v="20930.4"/>
        <n v="22294.7"/>
        <n v="46972.8"/>
        <n v="8190.0"/>
        <n v="32936.4"/>
        <n v="115065.6"/>
        <n v="14109.2"/>
        <n v="27090.0"/>
        <n v="13948.2"/>
        <n v="20789.9"/>
        <n v="5280.8"/>
        <n v="19028.8"/>
        <n v="4854.9"/>
        <n v="4543.0"/>
        <n v="29325.0"/>
        <n v="1738.8"/>
        <n v="180268.8"/>
        <n v="115704.1"/>
        <n v="1971.1"/>
        <n v="4939.6"/>
        <n v="10438.4"/>
        <n v="15878.8"/>
        <n v="40587.1"/>
        <n v="141320.8"/>
        <n v="129910.6"/>
        <n v="7215.0"/>
        <n v="15197.0"/>
        <n v="14908.5"/>
        <n v="17649.8"/>
        <n v="11320.4"/>
        <n v="6437.2"/>
        <n v="48846.0"/>
        <n v="115170.6"/>
        <n v="22512.0"/>
        <n v="18102.8"/>
        <n v="5636.4"/>
        <n v="6943.8"/>
        <n v="22397.2"/>
        <n v="17040.8"/>
        <n v="13006.0"/>
        <n v="22636.6"/>
        <n v="4190.5"/>
        <n v="10410.6"/>
        <n v="3158.4"/>
        <n v="167792.8"/>
        <n v="79643.2"/>
        <n v="115507.4"/>
        <n v="51416.4"/>
        <n v="4768.4"/>
        <n v="7518.0"/>
        <n v="3299.8"/>
        <n v="6908.1"/>
        <n v="8551.2"/>
        <n v="18867.5"/>
        <n v="9924.9"/>
        <n v="3670.8"/>
        <n v="10584.4"/>
        <n v="13176.8"/>
        <n v="108645.6"/>
        <n v="135388.5"/>
        <n v="14992.6"/>
        <n v="7379.4"/>
        <n v="15571.7"/>
        <n v="10987.2"/>
        <n v="100993.6"/>
        <n v="3250.8"/>
        <n v="5800.4"/>
        <n v="13771.8"/>
        <n v="3040.8"/>
        <n v="11154.6"/>
        <n v="1664.0"/>
        <n v="4628.2"/>
        <n v="2966.6"/>
        <n v="4034.8"/>
        <n v="105265.6"/>
        <n v="2024.8"/>
        <n v="7862.4"/>
        <n v="9429.0"/>
        <n v="15173.2"/>
        <n v="14950.6"/>
        <n v="11537.4"/>
        <n v="18324.6"/>
        <n v="51111.2"/>
        <n v="33632.4"/>
        <n v="19336.4"/>
        <n v="11846.8"/>
        <n v="10189.2"/>
        <n v="36086.4"/>
        <n v="15489.6"/>
        <n v="28089.6"/>
        <n v="232835.2"/>
        <n v="85317.5"/>
        <n v="8044.4"/>
        <n v="4095.0"/>
        <n v="11764.2"/>
        <n v="971.6"/>
        <n v="11444.6"/>
        <n v="25426.8"/>
        <n v="78121.8"/>
        <n v="10728.8"/>
        <n v="18788.0"/>
        <n v="8729.7"/>
        <n v="4442.2"/>
        <n v="17425.0"/>
        <n v="21932.4"/>
        <n v="15906.8"/>
        <n v="22459.8"/>
        <n v="145912.0"/>
        <n v="115262.4"/>
        <n v="3738.0"/>
        <n v="7377.5"/>
        <n v="4748.8"/>
        <n v="25194.2"/>
        <n v="17950.8"/>
        <n v="10369.8"/>
        <n v="2736.5"/>
        <n v="2236.0"/>
        <n v="50360.8"/>
        <n v="19210.8"/>
        <n v="4953.0"/>
        <n v="63617.6"/>
        <n v="77130.4"/>
        <n v="4565.4"/>
        <n v="17165.4"/>
        <n v="18566.8"/>
        <n v="18487.0"/>
        <n v="67321.8"/>
        <n v="7270.2"/>
        <n v="66484.6"/>
        <n v="25690.4"/>
        <n v="25279.8"/>
        <n v="4184.6"/>
        <n v="23395.4"/>
        <n v="6826.4"/>
        <n v="4953.8"/>
        <n v="3637.2"/>
        <n v="18067.8"/>
        <n v="24901.6"/>
        <n v="14690.0"/>
        <n v="11723.2"/>
        <n v="12600.0"/>
        <n v="20636.6"/>
        <n v="15369.2"/>
        <n v="173111.3"/>
        <n v="71616.0"/>
        <n v="6519.5"/>
        <n v="10579.8"/>
        <n v="13383.2"/>
        <n v="12658.8"/>
        <n v="12416.6"/>
        <n v="19870.2"/>
        <n v="13739.6"/>
        <n v="10153.5"/>
        <n v="172827.2"/>
        <n v="15316.0"/>
        <n v="50448.9"/>
        <n v="23478.0"/>
        <n v="28635.6"/>
        <n v="22246.0"/>
        <n v="81445.0"/>
        <n v="75153.4"/>
        <n v="27410.6"/>
        <n v="13210.4"/>
        <n v="9063.6"/>
        <n v="26775.0"/>
        <n v="17181.6"/>
        <n v="5865.9"/>
        <n v="25350.0"/>
        <n v="27280.5"/>
        <n v="25956.0"/>
        <n v="67923.8"/>
        <n v="4726.0"/>
        <n v="13389.6"/>
        <n v="5589.6"/>
        <n v="7425.6"/>
        <n v="273878.4"/>
        <n v="16575.0"/>
        <n v="19156.2"/>
        <n v="10252.2"/>
        <n v="7347.2"/>
        <n v="21306.4"/>
        <n v="7925.4"/>
        <n v="26581.3"/>
        <n v="3869.2"/>
        <n v="5395.0"/>
        <n v="13859.0"/>
        <n v="100609.4"/>
        <n v="33436.2"/>
        <n v="20328.0"/>
        <n v="6485.9"/>
        <n v="3012.8"/>
        <n v="6724.5"/>
        <n v="22556.5"/>
        <n v="42338.8"/>
        <n v="12766.6"/>
        <n v="2316.2"/>
        <n v="124930.0"/>
        <n v="43352.4"/>
        <n v="16240.0"/>
        <n v="9273.6"/>
        <n v="12934.9"/>
        <n v="13704.6"/>
        <n v="178704.6"/>
        <n v="163215.2"/>
        <n v="26476.8"/>
        <n v="33952.4"/>
        <n v="18586.4"/>
        <n v="32978.4"/>
        <n v="10200.4"/>
        <n v="6993.0"/>
        <n v="7635.6"/>
        <n v="10140.6"/>
        <n v="5967.0"/>
        <n v="11981.6"/>
        <n v="41262.0"/>
        <n v="33390.0"/>
        <n v="308976.0"/>
        <n v="110894.0"/>
        <n v="139597.1"/>
        <n v="28659.4"/>
        <n v="7870.2"/>
        <n v="6484.8"/>
        <n v="38446.8"/>
        <n v="10890.2"/>
      </sharedItems>
    </cacheField>
    <cacheField name="custo_produto_total" numFmtId="166">
      <sharedItems containsSemiMixedTypes="0" containsString="0" containsNumber="1">
        <n v="94340.0"/>
        <n v="51235.0"/>
        <n v="21590.0"/>
        <n v="3622.35"/>
        <n v="6286.8"/>
        <n v="128481.6"/>
        <n v="175075.5"/>
        <n v="14969.2"/>
        <n v="6024.8"/>
        <n v="4468.8"/>
        <n v="12491.05"/>
        <n v="4415.4"/>
        <n v="12853.2"/>
        <n v="8501.7"/>
        <n v="1702.5"/>
        <n v="97675.2"/>
        <n v="6353.3"/>
        <n v="60255.0"/>
        <n v="3734.9"/>
        <n v="23964.0"/>
        <n v="2713.2"/>
        <n v="130129.5"/>
        <n v="4863.9"/>
        <n v="23119.8"/>
        <n v="8306.2"/>
        <n v="3772.7"/>
        <n v="7446.0"/>
        <n v="3102.0"/>
        <n v="187011.7"/>
        <n v="86654.1"/>
        <n v="10655.6"/>
        <n v="5846.2"/>
        <n v="2637.5"/>
        <n v="51580.2"/>
        <n v="7095.8"/>
        <n v="9045.7"/>
        <n v="9414.6"/>
        <n v="4185.1"/>
        <n v="1999.2"/>
        <n v="2347.5"/>
        <n v="6682.7"/>
        <n v="2807.5"/>
        <n v="25007.0"/>
        <n v="11995.0"/>
        <n v="13437.6"/>
        <n v="5075.0"/>
        <n v="65752.6"/>
        <n v="13211.1"/>
        <n v="3638.0"/>
        <n v="3207.9"/>
        <n v="10540.3"/>
        <n v="13410.5"/>
        <n v="154603.2"/>
        <n v="3185.0"/>
        <n v="8222.25"/>
        <n v="6117.3"/>
        <n v="5398.8"/>
        <n v="29232.8"/>
        <n v="9731.8"/>
        <n v="38719.2"/>
        <n v="12856.8"/>
        <n v="4864.95"/>
        <n v="14927.5"/>
        <n v="3991.6"/>
        <n v="10539.0"/>
        <n v="4042.5"/>
        <n v="49378.2"/>
        <n v="118560.0"/>
        <n v="35649.9"/>
        <n v="20466.3"/>
        <n v="6820.0"/>
        <n v="7444.8"/>
        <n v="9118.8"/>
        <n v="9154.2"/>
        <n v="4606.8"/>
        <n v="179491.1"/>
        <n v="41919.8"/>
        <n v="33268.3"/>
        <n v="14700.0"/>
        <n v="17515.2"/>
        <n v="51382.65"/>
        <n v="14226.3"/>
        <n v="4151.4"/>
        <n v="22341.4"/>
        <n v="129458.4"/>
        <n v="16650.0"/>
        <n v="5979.7"/>
        <n v="5725.0"/>
        <n v="13676.2"/>
        <n v="8106.0"/>
        <n v="7860.8"/>
        <n v="18314.8"/>
        <n v="24855.6"/>
        <n v="47451.5"/>
        <n v="56938.2"/>
        <n v="67610.7"/>
        <n v="6444.4"/>
        <n v="42345.0"/>
        <n v="8387.55"/>
        <n v="8000.9"/>
        <n v="6502.5"/>
        <n v="27155.0"/>
        <n v="4907.1"/>
        <n v="12518.8"/>
        <n v="41031.2"/>
        <n v="25941.2"/>
        <n v="31116.0"/>
        <n v="2544.9"/>
        <n v="6074.1"/>
        <n v="22924.1"/>
        <n v="5626.2"/>
        <n v="11685.8"/>
        <n v="10172.5"/>
        <n v="8990.0"/>
        <n v="26553.1"/>
        <n v="94917.9"/>
        <n v="1992.4"/>
        <n v="2665.6"/>
        <n v="16202.5"/>
        <n v="18844.5"/>
        <n v="6306.3"/>
        <n v="6751.9"/>
        <n v="8923.2"/>
        <n v="54898.8"/>
        <n v="11799.0"/>
        <n v="176905.2"/>
        <n v="13205.0"/>
        <n v="3118.5"/>
        <n v="7935.6"/>
        <n v="6161.6"/>
        <n v="11364.5"/>
        <n v="19170.4"/>
        <n v="4158.15"/>
        <n v="9032.1"/>
        <n v="241198.6"/>
        <n v="5217.5"/>
        <n v="10897.0"/>
        <n v="99582.6"/>
        <n v="12497.1"/>
        <n v="6461.4"/>
        <n v="20961.6"/>
        <n v="4047.7"/>
        <n v="2426.3"/>
        <n v="77708.7"/>
        <n v="17294.1"/>
        <n v="3707.7"/>
        <n v="21883.4"/>
        <n v="23072.4"/>
        <n v="2547.5"/>
        <n v="14570.8"/>
        <n v="7140.0"/>
        <n v="1544.2"/>
        <n v="13012.65"/>
        <n v="12692.2"/>
        <n v="13059.4"/>
        <n v="77873.4"/>
        <n v="5421.9"/>
        <n v="6822.5"/>
        <n v="5315.25"/>
        <n v="36255.0"/>
        <n v="23025.0"/>
        <n v="17642.8"/>
        <n v="5912.4"/>
        <n v="10886.8"/>
        <n v="133193.1"/>
        <n v="38499.9"/>
        <n v="3775.2"/>
        <n v="7595.0"/>
        <n v="9782.5"/>
        <n v="19161.0"/>
        <n v="32623.95"/>
        <n v="6857.55"/>
        <n v="14132.1"/>
        <n v="10374.6"/>
        <n v="13905.5"/>
        <n v="18450.3"/>
        <n v="17836.4"/>
        <n v="15136.8"/>
        <n v="111680.6"/>
        <n v="75009.0"/>
        <n v="3675.0"/>
        <n v="17884.0"/>
        <n v="8700.6"/>
        <n v="8678.0"/>
        <n v="70638.6"/>
        <n v="7847.5"/>
        <n v="10047.0"/>
        <n v="28614.1"/>
        <n v="3627.5"/>
        <n v="12860.1"/>
        <n v="4302.5"/>
        <n v="42888.2"/>
        <n v="3196.0"/>
        <n v="10137.5"/>
        <n v="18522.5"/>
        <n v="11311.65"/>
        <n v="25500.5"/>
        <n v="24510.6"/>
        <n v="5484.2"/>
        <n v="9552.2"/>
        <n v="45255.0"/>
        <n v="45708.3"/>
        <n v="11985.0"/>
        <n v="3763.8"/>
        <n v="2441.2"/>
        <n v="11082.5"/>
        <n v="15274.5"/>
        <n v="10114.65"/>
        <n v="2542.7"/>
        <n v="4513.5"/>
        <n v="12413.4"/>
        <n v="106879.5"/>
        <n v="29135.7"/>
        <n v="49116.4"/>
        <n v="102449.6"/>
        <n v="7782.5"/>
        <n v="8655.45"/>
        <n v="2818.6"/>
        <n v="201382.2"/>
        <n v="69079.5"/>
        <n v="5822.8"/>
        <n v="35575.6"/>
        <n v="2074.0"/>
        <n v="7227.5"/>
        <n v="5497.9"/>
        <n v="7408.6"/>
        <n v="33653.8"/>
        <n v="10336.5"/>
        <n v="394444.0"/>
        <n v="108955.2"/>
        <n v="68860.2"/>
        <n v="7325.0"/>
        <n v="57031.35"/>
        <n v="8608.6"/>
        <n v="12277.95"/>
        <n v="6772.5"/>
        <n v="107327.75"/>
        <n v="76927.5"/>
        <n v="68010.0"/>
        <n v="6500.8"/>
        <n v="18058.95"/>
        <n v="34721.55"/>
        <n v="4855.5"/>
        <n v="4750.0"/>
        <n v="36272.5"/>
        <n v="28668.15"/>
        <n v="61390.4"/>
        <n v="29365.8"/>
        <n v="16617.5"/>
        <n v="9681.7"/>
        <n v="18198.9"/>
        <n v="10067.2"/>
        <n v="7710.0"/>
        <n v="5038.8"/>
        <n v="9009.0"/>
        <n v="17637.7"/>
        <n v="9487.7"/>
        <n v="18587.5"/>
        <n v="24777.35"/>
        <n v="7914.9"/>
        <n v="26077.8"/>
        <n v="43987.0"/>
        <n v="8093.1"/>
        <n v="4888.1"/>
        <n v="6777.6"/>
        <n v="19210.0"/>
        <n v="11031.2"/>
        <n v="7175.7"/>
        <n v="11664.5"/>
        <n v="18879.3"/>
        <n v="20434.5"/>
        <n v="7558.2"/>
        <n v="28181.4"/>
        <n v="60025.0"/>
        <n v="13820.0"/>
        <n v="7757.1"/>
        <n v="14443.2"/>
        <n v="6873.6"/>
        <n v="15298.7"/>
        <n v="57267.9"/>
        <n v="12865.8"/>
        <n v="26076.3"/>
        <n v="7968.5"/>
        <n v="40864.8"/>
        <n v="210813.6"/>
        <n v="15506.3"/>
        <n v="5428.1"/>
        <n v="4210.2"/>
        <n v="64395.6"/>
        <n v="5661.0"/>
        <n v="4492.8"/>
        <n v="17054.0"/>
        <n v="7028.1"/>
        <n v="8029.1"/>
        <n v="12252.15"/>
        <n v="3775.6"/>
        <n v="24333.8"/>
        <n v="4150.0"/>
        <n v="4982.3"/>
        <n v="35097.3"/>
        <n v="54750.2"/>
        <n v="52732.5"/>
        <n v="57835.0"/>
        <n v="25065.0"/>
        <n v="4847.5"/>
        <n v="15359.4"/>
        <n v="8913.7"/>
        <n v="18547.8"/>
        <n v="4084.65"/>
        <n v="2827.2"/>
        <n v="88138.5"/>
        <n v="9292.2"/>
        <n v="9396.6"/>
        <n v="7021.0"/>
        <n v="22463.8"/>
        <n v="11345.8"/>
        <n v="39897.15"/>
        <n v="16610.0"/>
        <n v="46272.5"/>
        <n v="5865.3"/>
        <n v="4148.0"/>
        <n v="9297.3"/>
        <n v="9165.0"/>
        <n v="7211.4"/>
        <n v="8253.8"/>
        <n v="17322.7"/>
        <n v="5145.9"/>
        <n v="16022.35"/>
        <n v="128050.8"/>
        <n v="94684.2"/>
        <n v="51932.5"/>
        <n v="5788.5"/>
        <n v="17835.0"/>
        <n v="5802.5"/>
        <n v="4770.2"/>
        <n v="63122.5"/>
        <n v="16207.8"/>
        <n v="4565.1"/>
        <n v="16177.5"/>
        <n v="1383.2"/>
        <n v="7776.7"/>
        <n v="9360.0"/>
        <n v="5616.6"/>
        <n v="179521.0"/>
        <n v="69509.3"/>
        <n v="3417.0"/>
        <n v="20127.1"/>
        <n v="70705.65"/>
        <n v="17728.6"/>
        <n v="27548.4"/>
        <n v="25507.5"/>
        <n v="7635.9"/>
        <n v="8279.7"/>
        <n v="6332.1"/>
        <n v="25581.6"/>
        <n v="28020.5"/>
        <n v="136588.2"/>
        <n v="32665.5"/>
        <n v="8353.7"/>
        <n v="7520.0"/>
        <n v="3640.6"/>
        <n v="10193.2"/>
        <n v="29593.5"/>
        <n v="9800.5"/>
        <n v="230183.1"/>
        <n v="84157.45"/>
        <n v="108941.1"/>
        <n v="35689.8"/>
        <n v="72423.4"/>
        <n v="171603.1"/>
        <n v="7755.5"/>
        <n v="11898.7"/>
        <n v="9821.55"/>
        <n v="21682.3"/>
        <n v="3575.3"/>
        <n v="40680.0"/>
        <n v="10920.0"/>
        <n v="11047.3"/>
        <n v="22519.5"/>
        <n v="11858.8"/>
        <n v="7673.4"/>
        <n v="78007.05"/>
        <n v="70961.4"/>
        <n v="10173.3"/>
        <n v="12315.0"/>
        <n v="22993.8"/>
        <n v="11741.4"/>
        <n v="3828.4"/>
        <n v="115757.5"/>
        <n v="10577.4"/>
        <n v="9089.55"/>
        <n v="8867.5"/>
        <n v="15485.0"/>
        <n v="4774.95"/>
        <n v="5498.3"/>
        <n v="23255.0"/>
        <n v="135843.0"/>
        <n v="2101.2"/>
        <n v="12796.6"/>
        <n v="21262.5"/>
        <n v="19276.5"/>
        <n v="5447.25"/>
        <n v="14010.0"/>
        <n v="14328.3"/>
        <n v="3555.0"/>
        <n v="6657.4"/>
        <n v="5064.45"/>
        <n v="5772.5"/>
        <n v="9155.0"/>
        <n v="94450.8"/>
        <n v="33110.7"/>
        <n v="7900.0"/>
        <n v="3024.3"/>
        <n v="9110.0"/>
        <n v="4493.7"/>
        <n v="4839.9"/>
        <n v="4376.2"/>
        <n v="19487.1"/>
        <n v="6369.4"/>
        <n v="6626.6"/>
        <n v="5604.9"/>
        <n v="5229.5"/>
        <n v="70438.5"/>
        <n v="5511.3"/>
        <n v="19295.5"/>
        <n v="16432.5"/>
        <n v="19348.3"/>
        <n v="5230.0"/>
        <n v="3832.9"/>
        <n v="5474.85"/>
        <n v="2157.3"/>
        <n v="17040.9"/>
        <n v="9601.65"/>
        <n v="4640.1"/>
        <n v="7515.0"/>
        <n v="1977.5"/>
        <n v="5442.4"/>
        <n v="14399.6"/>
        <n v="17217.9"/>
        <n v="10445.25"/>
        <n v="26319.6"/>
        <n v="13101.9"/>
        <n v="41372.5"/>
        <n v="10939.05"/>
        <n v="35301.6"/>
        <n v="2206.1"/>
        <n v="8039.85"/>
        <n v="8622.4"/>
        <n v="7731.6"/>
        <n v="20639.2"/>
        <n v="265477.5"/>
        <n v="123974.0"/>
        <n v="28728.3"/>
        <n v="50219.7"/>
        <n v="23865.6"/>
        <n v="2868.8"/>
        <n v="21290.2"/>
        <n v="7451.1"/>
        <n v="28743.6"/>
        <n v="31715.0"/>
        <n v="3559.95"/>
        <n v="12210.6"/>
        <n v="4572.1"/>
        <n v="478956.2"/>
        <n v="181259.1"/>
        <n v="174596.3"/>
        <n v="15816.8"/>
        <n v="14300.4"/>
        <n v="4785.0"/>
        <n v="15697.8"/>
        <n v="18482.3"/>
        <n v="38025.6"/>
        <n v="6789.5"/>
        <n v="26304.6"/>
        <n v="89618.4"/>
        <n v="12597.5"/>
        <n v="24187.5"/>
        <n v="12066.3"/>
        <n v="17437.4"/>
        <n v="4715.0"/>
        <n v="16461.5"/>
        <n v="4072.3"/>
        <n v="3866.9"/>
        <n v="24581.25"/>
        <n v="1552.5"/>
        <n v="136300.8"/>
        <n v="91743.9"/>
        <n v="1579.3"/>
        <n v="3937.2"/>
        <n v="9320.0"/>
        <n v="14177.5"/>
        <n v="32519.3"/>
        <n v="115662.45"/>
        <n v="108895.65"/>
        <n v="11923.8"/>
        <n v="12235.4"/>
        <n v="15268.4"/>
        <n v="8816.85"/>
        <n v="5747.5"/>
        <n v="38379.0"/>
        <n v="93120.15"/>
        <n v="18224.0"/>
        <n v="15510.3"/>
        <n v="4562.8"/>
        <n v="5756.5"/>
        <n v="19064.4"/>
        <n v="15215.0"/>
        <n v="11612.5"/>
        <n v="19582.3"/>
        <n v="3357.5"/>
        <n v="8417.4"/>
        <n v="2820.0"/>
        <n v="140493.1"/>
        <n v="66685.3"/>
        <n v="94535.85"/>
        <n v="41622.8"/>
        <n v="4257.5"/>
        <n v="6712.5"/>
        <n v="2808.7"/>
        <n v="5506.3"/>
        <n v="7635.0"/>
        <n v="15825.1"/>
        <n v="8503.4"/>
        <n v="2971.6"/>
        <n v="8582.6"/>
        <n v="11765.0"/>
        <n v="87951.2"/>
        <n v="106227.9"/>
        <n v="12761.5"/>
        <n v="5798.1"/>
        <n v="12779.7"/>
        <n v="9810.0"/>
        <n v="84656.4"/>
        <n v="2631.6"/>
        <n v="4862.1"/>
        <n v="10525.5"/>
        <n v="2461.6"/>
        <n v="8891.0"/>
        <n v="1305.6"/>
        <n v="3787.8"/>
        <n v="2483.9"/>
        <n v="3602.5"/>
        <n v="86153.4"/>
        <n v="1698.1"/>
        <n v="7020.0"/>
        <n v="7633.0"/>
        <n v="13547.5"/>
        <n v="12518.2"/>
        <n v="9339.8"/>
        <n v="14834.2"/>
        <n v="45635.0"/>
        <n v="27271.15"/>
        <n v="16566.7"/>
        <n v="10248.5"/>
        <n v="8248.4"/>
        <n v="30716.4"/>
        <n v="13184.6"/>
        <n v="22739.2"/>
        <n v="181342.8"/>
        <n v="71558.8"/>
        <n v="6743.1"/>
        <n v="3213.0"/>
        <n v="9523.4"/>
        <n v="867.5"/>
        <n v="9122.2"/>
        <n v="20583.6"/>
        <n v="66933.1"/>
        <n v="8699.6"/>
        <n v="16775.0"/>
        <n v="6734.4"/>
        <n v="3781.1"/>
        <n v="14606.25"/>
        <n v="17232.6"/>
        <n v="14202.5"/>
        <n v="16981.8"/>
        <n v="114484.8"/>
        <n v="88505.1"/>
        <n v="3337.5"/>
        <n v="4240.0"/>
        <n v="21131.3"/>
        <n v="14104.2"/>
        <n v="8394.6"/>
        <n v="2147.1"/>
        <n v="1754.4"/>
        <n v="44965.0"/>
        <n v="17152.5"/>
        <n v="3886.2"/>
        <n v="50707.6"/>
        <n v="63126.6"/>
        <n v="3587.1"/>
        <n v="13895.8"/>
        <n v="15572.8"/>
        <n v="15130.5"/>
        <n v="51453.0"/>
        <n v="5885.4"/>
        <n v="56591.0"/>
        <n v="21547.6"/>
        <n v="19862.7"/>
        <n v="3342.15"/>
        <n v="20238.8"/>
        <n v="6095.0"/>
        <n v="4152.45"/>
        <n v="2944.4"/>
        <n v="15154.0"/>
        <n v="20873.4"/>
        <n v="11526.0"/>
        <n v="9826.8"/>
        <n v="10200.0"/>
        <n v="15968.7"/>
        <n v="13295.5"/>
        <n v="137263.1"/>
        <n v="57904.5"/>
        <n v="5115.3"/>
        <n v="9005.6"/>
        <n v="10953.3"/>
        <n v="10247.6"/>
        <n v="10396.4"/>
        <n v="16085.4"/>
        <n v="12267.5"/>
        <n v="7542.6"/>
        <n v="134605.8"/>
        <n v="13675.0"/>
        <n v="42313.1"/>
        <n v="18447.0"/>
        <n v="25567.5"/>
        <n v="19862.5"/>
        <n v="63903.0"/>
        <n v="62926.1"/>
        <n v="22950.9"/>
        <n v="10811.85"/>
        <n v="8092.5"/>
        <n v="21037.5"/>
        <n v="13932.1"/>
        <n v="4920.1"/>
        <n v="19890.0"/>
        <n v="21404.7"/>
        <n v="23175.0"/>
        <n v="58759.4"/>
        <n v="3544.5"/>
        <n v="11955.0"/>
        <n v="4685.4"/>
        <n v="5569.2"/>
        <n v="218326.6"/>
        <n v="13005.0"/>
        <n v="15051.3"/>
        <n v="8055.3"/>
        <n v="6151.9"/>
        <n v="17276.5"/>
        <n v="6746.2"/>
        <n v="22294.5"/>
        <n v="3243.3"/>
        <n v="4233.0"/>
        <n v="11046.6"/>
        <n v="84334.35"/>
        <n v="26271.3"/>
        <n v="18150.0"/>
        <n v="5169.7"/>
        <n v="2690.0"/>
        <n v="5027.4"/>
        <n v="19325.7"/>
        <n v="36626.5"/>
        <n v="11044.2"/>
        <n v="1942.8"/>
        <n v="98022.0"/>
        <n v="35094.8"/>
        <n v="14500.0"/>
        <n v="7286.4"/>
        <n v="10723.1"/>
        <n v="11094.2"/>
        <n v="136155.9"/>
        <n v="125263.1"/>
        <n v="23640.0"/>
        <n v="28460.1"/>
        <n v="15562.5"/>
        <n v="25911.6"/>
        <n v="9107.5"/>
        <n v="5494.5"/>
        <n v="6181.2"/>
        <n v="8406.5"/>
        <n v="4681.8"/>
        <n v="8986.2"/>
        <n v="32136.75"/>
        <n v="29812.5"/>
        <n v="249819.75"/>
        <n v="99012.5"/>
        <n v="111848.1"/>
        <n v="24792.5"/>
        <n v="6273.0"/>
        <n v="5249.6"/>
        <n v="30208.2"/>
        <n v="9330.8"/>
      </sharedItems>
    </cacheField>
    <cacheField name="margem_bruta" numFmtId="166">
      <sharedItems containsSemiMixedTypes="0" containsString="0" containsNumber="1">
        <n v="28583.0"/>
        <n v="6148.2"/>
        <n v="5080.0"/>
        <n v="699.05"/>
        <n v="2176.2"/>
        <n v="43372.8"/>
        <n v="33786.5"/>
        <n v="2908.8"/>
        <n v="1417.6"/>
        <n v="862.4"/>
        <n v="2913.55"/>
        <n v="1361.7"/>
        <n v="2247.2"/>
        <n v="2333.8"/>
        <n v="204.3"/>
        <n v="18849.6"/>
        <n v="1221.8"/>
        <n v="7230.6"/>
        <n v="975.4"/>
        <n v="7245.0"/>
        <n v="690.8"/>
        <n v="38037.7"/>
        <n v="758.5"/>
        <n v="6305.4"/>
        <n v="2114.8"/>
        <n v="659.7"/>
        <n v="2044.0"/>
        <n v="846.0"/>
        <n v="55462.9"/>
        <n v="22061.8"/>
        <n v="2507.2"/>
        <n v="1022.2"/>
        <n v="316.5"/>
        <n v="10022.6"/>
        <n v="1669.6"/>
        <n v="2244.2"/>
        <n v="2215.2"/>
        <n v="700.0"/>
        <n v="548.8"/>
        <n v="281.7"/>
        <n v="1701.4"/>
        <n v="336.9"/>
        <n v="5884.0"/>
        <n v="1439.4"/>
        <n v="3664.8"/>
        <n v="609.0"/>
        <n v="15471.2"/>
        <n v="3751.3"/>
        <n v="856.0"/>
        <n v="880.6"/>
        <n v="1643.9"/>
        <n v="2578.5"/>
        <n v="49872.0"/>
        <n v="382.2"/>
        <n v="1586.75"/>
        <n v="2078.1"/>
        <n v="1632.2"/>
        <n v="5680.4"/>
        <n v="1871.5"/>
        <n v="9110.4"/>
        <n v="3506.4"/>
        <n v="938.85"/>
        <n v="1791.3"/>
        <n v="767.4"/>
        <n v="3293.4"/>
        <n v="485.1"/>
        <n v="13554.8"/>
        <n v="14227.2"/>
        <n v="9722.7"/>
        <n v="5210.6"/>
        <n v="818.4"/>
        <n v="2030.4"/>
        <n v="2145.6"/>
        <n v="1766.6"/>
        <n v="1256.4"/>
        <n v="46876.6"/>
        <n v="8145.6"/>
        <n v="7268.7"/>
        <n v="1764.0"/>
        <n v="3613.4"/>
        <n v="9915.95"/>
        <n v="3879.9"/>
        <n v="976.8"/>
        <n v="5688.0"/>
        <n v="43152.8"/>
        <n v="4867.0"/>
        <n v="1306.2"/>
        <n v="687.0"/>
        <n v="2657.6"/>
        <n v="1354.9"/>
        <n v="1849.6"/>
        <n v="3558.8"/>
        <n v="6778.8"/>
        <n v="7932.1"/>
        <n v="15528.6"/>
        <n v="18559.8"/>
        <n v="1005.0"/>
        <n v="5081.4"/>
        <n v="1618.65"/>
        <n v="1538.5"/>
        <n v="1698.2"/>
        <n v="3258.6"/>
        <n v="1338.3"/>
        <n v="3187.2"/>
        <n v="9654.4"/>
        <n v="5040.8"/>
        <n v="9596.7"/>
        <n v="698.6"/>
        <n v="1667.4"/>
        <n v="5832.5"/>
        <n v="940.7"/>
        <n v="2749.6"/>
        <n v="1220.7"/>
        <n v="1078.8"/>
        <n v="5159.7"/>
        <n v="25886.7"/>
        <n v="468.8"/>
        <n v="661.2"/>
        <n v="1944.3"/>
        <n v="5173.0"/>
        <n v="1102.5"/>
        <n v="1298.0"/>
        <n v="1560.0"/>
        <n v="10667.4"/>
        <n v="2277.0"/>
        <n v="53598.6"/>
        <n v="1584.6"/>
        <n v="850.5"/>
        <n v="1968.8"/>
        <n v="1270.9"/>
        <n v="2819.4"/>
        <n v="3351.4"/>
        <n v="802.45"/>
        <n v="2463.3"/>
        <n v="77806.0"/>
        <n v="626.1"/>
        <n v="2774.4"/>
        <n v="27336.4"/>
        <n v="3653.1"/>
        <n v="1762.2"/>
        <n v="5716.8"/>
        <n v="1004.2"/>
        <n v="500.3"/>
        <n v="19784.2"/>
        <n v="3836.3"/>
        <n v="720.5"/>
        <n v="4514.2"/>
        <n v="5428.8"/>
        <n v="305.7"/>
        <n v="2272.6"/>
        <n v="2380.0"/>
        <n v="297.2"/>
        <n v="3694.95"/>
        <n v="2986.4"/>
        <n v="3072.8"/>
        <n v="15028.2"/>
        <n v="1478.7"/>
        <n v="818.7"/>
        <n v="1025.75"/>
        <n v="6970.7"/>
        <n v="6730.2"/>
        <n v="3084.2"/>
        <n v="2046.6"/>
        <n v="2561.6"/>
        <n v="41622.9"/>
        <n v="10568.6"/>
        <n v="1029.6"/>
        <n v="911.4"/>
        <n v="1173.9"/>
        <n v="4831.0"/>
        <n v="6295.85"/>
        <n v="1623.65"/>
        <n v="3879.4"/>
        <n v="1734.3"/>
        <n v="2431.1"/>
        <n v="4368.9"/>
        <n v="4196.8"/>
        <n v="5045.6"/>
        <n v="36026.0"/>
        <n v="22677.2"/>
        <n v="441.0"/>
        <n v="4208.0"/>
        <n v="2388.4"/>
        <n v="1686.2"/>
        <n v="12349.2"/>
        <n v="941.7"/>
        <n v="2758.0"/>
        <n v="5559.9"/>
        <n v="435.3"/>
        <n v="3507.3"/>
        <n v="516.3"/>
        <n v="7497.8"/>
        <n v="752.0"/>
        <n v="1216.5"/>
        <n v="2222.7"/>
        <n v="2182.95"/>
        <n v="5260.0"/>
        <n v="6959.8"/>
        <n v="1290.4"/>
        <n v="1597.0"/>
        <n v="5430.6"/>
        <n v="8820.9"/>
        <n v="2820.0"/>
        <n v="885.6"/>
        <n v="605.6"/>
        <n v="1329.9"/>
        <n v="4193.0"/>
        <n v="1951.95"/>
        <n v="424.9"/>
        <n v="1504.5"/>
        <n v="3079.6"/>
        <n v="25308.5"/>
        <n v="8273.1"/>
        <n v="11556.8"/>
        <n v="19698.0"/>
        <n v="933.9"/>
        <n v="1670.35"/>
        <n v="663.2"/>
        <n v="57182.6"/>
        <n v="23026.5"/>
        <n v="1272.4"/>
        <n v="11476.0"/>
        <n v="488.0"/>
        <n v="867.3"/>
        <n v="919.0"/>
        <n v="1743.2"/>
        <n v="5883.6"/>
        <n v="3021.5"/>
        <n v="127240.0"/>
        <n v="32939.8"/>
        <n v="18902.8"/>
        <n v="879.0"/>
        <n v="11006.05"/>
        <n v="1505.0"/>
        <n v="2723.85"/>
        <n v="812.7"/>
        <n v="32518.05"/>
        <n v="9231.3"/>
        <n v="8161.2"/>
        <n v="1529.6"/>
        <n v="5127.85"/>
        <n v="6700.65"/>
        <n v="757.1"/>
        <n v="570.0"/>
        <n v="4352.7"/>
        <n v="5532.45"/>
        <n v="14444.8"/>
        <n v="6909.6"/>
        <n v="1994.1"/>
        <n v="1509.9"/>
        <n v="3042.0"/>
        <n v="1760.0"/>
        <n v="925.2"/>
        <n v="1185.6"/>
        <n v="1575.0"/>
        <n v="4487.7"/>
        <n v="2353.8"/>
        <n v="2230.5"/>
        <n v="6544.25"/>
        <n v="1323.3"/>
        <n v="4067.0"/>
        <n v="9073.3"/>
        <n v="1572.5"/>
        <n v="854.7"/>
        <n v="1708.8"/>
        <n v="4890.8"/>
        <n v="2121.2"/>
        <n v="1969.8"/>
        <n v="2242.9"/>
        <n v="5148.9"/>
        <n v="3943.5"/>
        <n v="2074.8"/>
        <n v="8806.6"/>
        <n v="7203.0"/>
        <n v="1658.4"/>
        <n v="2585.7"/>
        <n v="3677.2"/>
        <n v="2036.7"/>
        <n v="3342.5"/>
        <n v="11051.7"/>
        <n v="2811.0"/>
        <n v="7158.2"/>
        <n v="1643.8"/>
        <n v="7940.6"/>
        <n v="49603.2"/>
        <n v="3387.9"/>
        <n v="948.9"/>
        <n v="703.8"/>
        <n v="19468.6"/>
        <n v="1441.2"/>
        <n v="1555.2"/>
        <n v="2981.4"/>
        <n v="1664.3"/>
        <n v="2044.2"/>
        <n v="2364.45"/>
        <n v="1043.6"/>
        <n v="5725.6"/>
        <n v="498.0"/>
        <n v="871.1"/>
        <n v="9965.9"/>
        <n v="13939.2"/>
        <n v="6327.9"/>
        <n v="6940.2"/>
        <n v="3007.8"/>
        <n v="581.7"/>
        <n v="2567.3"/>
        <n v="1838.6"/>
        <n v="3579.4"/>
        <n v="1078.95"/>
        <n v="912.0"/>
        <n v="26646.5"/>
        <n v="2186.4"/>
        <n v="2596.8"/>
        <n v="1833.6"/>
        <n v="5285.6"/>
        <n v="2669.6"/>
        <n v="7699.45"/>
        <n v="1993.2"/>
        <n v="5552.7"/>
        <n v="1131.9"/>
        <n v="855.9"/>
        <n v="2552.2"/>
        <n v="1099.8"/>
        <n v="1836.0"/>
        <n v="1287.2"/>
        <n v="3573.0"/>
        <n v="1715.3"/>
        <n v="3737.25"/>
        <n v="42683.6"/>
        <n v="32775.3"/>
        <n v="6231.9"/>
        <n v="1929.5"/>
        <n v="2140.2"/>
        <n v="1127.5"/>
        <n v="1122.4"/>
        <n v="7574.7"/>
        <n v="2833.6"/>
        <n v="798.3"/>
        <n v="1941.3"/>
        <n v="285.1"/>
        <n v="1359.7"/>
        <n v="1123.2"/>
        <n v="1531.8"/>
        <n v="57910.0"/>
        <n v="13506.5"/>
        <n v="804.0"/>
        <n v="3869.9"/>
        <n v="13644.95"/>
        <n v="2963.5"/>
        <n v="7513.2"/>
        <n v="3060.9"/>
        <n v="2417.6"/>
        <n v="1447.5"/>
        <n v="1306.3"/>
        <n v="6976.8"/>
        <n v="5779.8"/>
        <n v="45529.4"/>
        <n v="8967.0"/>
        <n v="1460.3"/>
        <n v="902.4"/>
        <n v="636.4"/>
        <n v="2528.8"/>
        <n v="4615.5"/>
        <n v="2431.4"/>
        <n v="44421.3"/>
        <n v="22228.35"/>
        <n v="36313.7"/>
        <n v="8397.6"/>
        <n v="17040.8"/>
        <n v="44816.6"/>
        <n v="1506.9"/>
        <n v="2454.3"/>
        <n v="2975.65"/>
        <n v="3624.7"/>
        <n v="687.5"/>
        <n v="4881.6"/>
        <n v="1310.4"/>
        <n v="2810.9"/>
        <n v="5332.5"/>
        <n v="2280.4"/>
        <n v="1282.5"/>
        <n v="22150.15"/>
        <n v="16696.8"/>
        <n v="1956.0"/>
        <n v="1477.8"/>
        <n v="4437.4"/>
        <n v="2780.2"/>
        <n v="900.8"/>
        <n v="13890.9"/>
        <n v="3525.8"/>
        <n v="2291.65"/>
        <n v="1064.1"/>
        <n v="1858.2"/>
        <n v="1355.85"/>
        <n v="1134.3"/>
        <n v="2790.6"/>
        <n v="46147.6"/>
        <n v="576.8"/>
        <n v="2139.2"/>
        <n v="2551.5"/>
        <n v="5711.4"/>
        <n v="1546.75"/>
        <n v="1681.2"/>
        <n v="3392.9"/>
        <n v="939.2"/>
        <n v="1038.4"/>
        <n v="977.35"/>
        <n v="692.7"/>
        <n v="1098.6"/>
        <n v="30468.0"/>
        <n v="7345.1"/>
        <n v="948.0"/>
        <n v="471.5"/>
        <n v="1093.2"/>
        <n v="863.9"/>
        <n v="1328.6"/>
        <n v="731.6"/>
        <n v="5349.4"/>
        <n v="1113.6"/>
        <n v="1559.2"/>
        <n v="1868.3"/>
        <n v="815.7"/>
        <n v="19210.5"/>
        <n v="1304.9"/>
        <n v="3225.6"/>
        <n v="1971.9"/>
        <n v="3234.3"/>
        <n v="627.6"/>
        <n v="640.4"/>
        <n v="1056.55"/>
        <n v="592.2"/>
        <n v="5049.0"/>
        <n v="1852.95"/>
        <n v="1431.0"/>
        <n v="901.8"/>
        <n v="237.3"/>
        <n v="951.4"/>
        <n v="2768.9"/>
        <n v="3310.4"/>
        <n v="2015.75"/>
        <n v="6635.8"/>
        <n v="3596.6"/>
        <n v="4964.7"/>
        <n v="3106.15"/>
        <n v="8234.8"/>
        <n v="455.4"/>
        <n v="1551.55"/>
        <n v="2019.2"/>
        <n v="4010.6"/>
        <n v="75382.5"/>
        <n v="25572.7"/>
        <n v="7127.4"/>
        <n v="13785.8"/>
        <n v="6508.8"/>
        <n v="551.5"/>
        <n v="4093.0"/>
        <n v="1897.0"/>
        <n v="6763.2"/>
        <n v="3805.8"/>
        <n v="1010.85"/>
        <n v="2041.3"/>
        <n v="712.9"/>
        <n v="154502.0"/>
        <n v="40210.3"/>
        <n v="33569.8"/>
        <n v="3721.6"/>
        <n v="3925.6"/>
        <n v="574.2"/>
        <n v="5232.6"/>
        <n v="3812.4"/>
        <n v="8947.2"/>
        <n v="1400.5"/>
        <n v="6631.8"/>
        <n v="25447.2"/>
        <n v="1511.7"/>
        <n v="2902.5"/>
        <n v="1881.9"/>
        <n v="3352.5"/>
        <n v="565.8"/>
        <n v="782.6"/>
        <n v="676.1"/>
        <n v="4743.75"/>
        <n v="186.3"/>
        <n v="43968.0"/>
        <n v="23960.2"/>
        <n v="391.8"/>
        <n v="1002.4"/>
        <n v="1118.4"/>
        <n v="1701.3"/>
        <n v="8067.8"/>
        <n v="25658.35"/>
        <n v="21014.95"/>
        <n v="1554.0"/>
        <n v="3273.2"/>
        <n v="2673.1"/>
        <n v="2381.4"/>
        <n v="2503.55"/>
        <n v="689.7"/>
        <n v="10467.0"/>
        <n v="22050.45"/>
        <n v="4288.0"/>
        <n v="2592.5"/>
        <n v="1073.6"/>
        <n v="1187.3"/>
        <n v="3332.8"/>
        <n v="1825.8"/>
        <n v="1393.5"/>
        <n v="3054.3"/>
        <n v="833.0"/>
        <n v="338.4"/>
        <n v="27299.7"/>
        <n v="12957.9"/>
        <n v="20971.55"/>
        <n v="9793.6"/>
        <n v="510.9"/>
        <n v="805.5"/>
        <n v="491.1"/>
        <n v="1401.8"/>
        <n v="916.2"/>
        <n v="3042.4"/>
        <n v="1421.5"/>
        <n v="699.2"/>
        <n v="2001.8"/>
        <n v="1411.8"/>
        <n v="20694.4"/>
        <n v="29160.6"/>
        <n v="2231.1"/>
        <n v="1581.3"/>
        <n v="2792.0"/>
        <n v="1177.2"/>
        <n v="16337.2"/>
        <n v="619.2"/>
        <n v="938.3"/>
        <n v="3246.3"/>
        <n v="579.2"/>
        <n v="2263.6"/>
        <n v="358.4"/>
        <n v="840.4"/>
        <n v="482.7"/>
        <n v="432.3"/>
        <n v="19112.2"/>
        <n v="326.7"/>
        <n v="842.4"/>
        <n v="1796.0"/>
        <n v="1625.7"/>
        <n v="2432.4"/>
        <n v="2197.6"/>
        <n v="3490.4"/>
        <n v="5476.2"/>
        <n v="6361.25"/>
        <n v="2769.7"/>
        <n v="1598.3"/>
        <n v="1940.8"/>
        <n v="5370.0"/>
        <n v="2305.0"/>
        <n v="5350.4"/>
        <n v="51492.4"/>
        <n v="13758.7"/>
        <n v="1301.3"/>
        <n v="882.0"/>
        <n v="2240.8"/>
        <n v="104.1"/>
        <n v="2322.4"/>
        <n v="4843.2"/>
        <n v="11188.7"/>
        <n v="2029.2"/>
        <n v="2013.0"/>
        <n v="1995.3"/>
        <n v="661.1"/>
        <n v="2818.75"/>
        <n v="4699.8"/>
        <n v="1704.3"/>
        <n v="5478.0"/>
        <n v="31427.2"/>
        <n v="26757.3"/>
        <n v="400.5"/>
        <n v="1589.0"/>
        <n v="508.8"/>
        <n v="4062.9"/>
        <n v="3846.6"/>
        <n v="1975.2"/>
        <n v="589.4"/>
        <n v="481.6"/>
        <n v="5395.8"/>
        <n v="2058.3"/>
        <n v="1066.8"/>
        <n v="12910.0"/>
        <n v="14003.8"/>
        <n v="978.3"/>
        <n v="3269.6"/>
        <n v="2994.0"/>
        <n v="3356.5"/>
        <n v="15868.8"/>
        <n v="1384.8"/>
        <n v="9893.6"/>
        <n v="4142.8"/>
        <n v="5417.1"/>
        <n v="842.45"/>
        <n v="3156.6"/>
        <n v="731.4"/>
        <n v="801.35"/>
        <n v="692.8"/>
        <n v="2913.8"/>
        <n v="4028.2"/>
        <n v="3164.0"/>
        <n v="1896.4"/>
        <n v="2400.0"/>
        <n v="4667.9"/>
        <n v="2073.7"/>
        <n v="35848.2"/>
        <n v="13711.5"/>
        <n v="1404.2"/>
        <n v="1574.2"/>
        <n v="2429.9"/>
        <n v="2411.2"/>
        <n v="2020.2"/>
        <n v="3784.8"/>
        <n v="1472.1"/>
        <n v="2610.9"/>
        <n v="38221.4"/>
        <n v="1641.0"/>
        <n v="8135.8"/>
        <n v="5031.0"/>
        <n v="3068.1"/>
        <n v="2383.5"/>
        <n v="17542.0"/>
        <n v="12227.3"/>
        <n v="4459.7"/>
        <n v="2398.55"/>
        <n v="971.1"/>
        <n v="5737.5"/>
        <n v="3249.5"/>
        <n v="945.8"/>
        <n v="5460.0"/>
        <n v="5875.8"/>
        <n v="2781.0"/>
        <n v="9164.4"/>
        <n v="1181.5"/>
        <n v="1434.6"/>
        <n v="904.2"/>
        <n v="1856.4"/>
        <n v="55551.8"/>
        <n v="3570.0"/>
        <n v="4104.9"/>
        <n v="2196.9"/>
        <n v="1195.3"/>
        <n v="4029.9"/>
        <n v="1179.2"/>
        <n v="4286.8"/>
        <n v="625.9"/>
        <n v="1162.0"/>
        <n v="2812.4"/>
        <n v="16275.05"/>
        <n v="7164.9"/>
        <n v="2178.0"/>
        <n v="1316.2"/>
        <n v="322.8"/>
        <n v="1697.1"/>
        <n v="3230.8"/>
        <n v="5712.3"/>
        <n v="1722.4"/>
        <n v="373.4"/>
        <n v="26908.0"/>
        <n v="8257.6"/>
        <n v="1740.0"/>
        <n v="1987.2"/>
        <n v="2211.8"/>
        <n v="2610.4"/>
        <n v="42548.7"/>
        <n v="37952.1"/>
        <n v="2836.8"/>
        <n v="5492.3"/>
        <n v="3023.9"/>
        <n v="7066.8"/>
        <n v="1092.9"/>
        <n v="1498.5"/>
        <n v="1454.4"/>
        <n v="1734.1"/>
        <n v="1285.2"/>
        <n v="2995.4"/>
        <n v="9125.25"/>
        <n v="3577.5"/>
        <n v="59156.25"/>
        <n v="11881.5"/>
        <n v="27749.0"/>
        <n v="3866.9"/>
        <n v="1597.2"/>
        <n v="1235.2"/>
        <n v="8238.6"/>
        <n v="1559.4"/>
      </sharedItems>
    </cacheField>
    <cacheField name="frete_real" numFmtId="166">
      <sharedItems containsSemiMixedTypes="0" containsString="0" containsNumber="1" containsInteger="1">
        <n v="9929.0"/>
        <n v="1469.0"/>
        <n v="1462.0"/>
        <n v="2490.0"/>
        <n v="2731.0"/>
        <n v="8787.0"/>
        <n v="6137.0"/>
        <n v="2385.0"/>
        <n v="1582.0"/>
        <n v="1091.0"/>
        <n v="4923.0"/>
        <n v="5679.0"/>
        <n v="73.0"/>
        <n v="2267.0"/>
        <n v="3020.0"/>
        <n v="7305.0"/>
        <n v="583.0"/>
        <n v="5882.0"/>
        <n v="779.0"/>
        <n v="2621.0"/>
        <n v="6464.0"/>
        <n v="14949.0"/>
        <n v="4211.0"/>
        <n v="3210.0"/>
        <n v="2541.0"/>
        <n v="1077.0"/>
        <n v="853.0"/>
        <n v="1416.0"/>
        <n v="11679.0"/>
        <n v="12110.0"/>
        <n v="4084.0"/>
        <n v="694.0"/>
        <n v="1493.0"/>
        <n v="2795.0"/>
        <n v="1858.0"/>
        <n v="63.0"/>
        <n v="3967.0"/>
        <n v="687.0"/>
        <n v="810.0"/>
        <n v="1271.0"/>
        <n v="5246.0"/>
        <n v="3155.0"/>
        <n v="584.0"/>
        <n v="1603.0"/>
        <n v="721.0"/>
        <n v="3147.0"/>
        <n v="5892.0"/>
        <n v="4721.0"/>
        <n v="1986.0"/>
        <n v="2306.0"/>
        <n v="2413.0"/>
        <n v="6213.0"/>
        <n v="0.0"/>
        <n v="6778.0"/>
        <n v="5212.0"/>
        <n v="3846.0"/>
        <n v="1224.0"/>
        <n v="216.0"/>
        <n v="1086.0"/>
        <n v="6664.0"/>
        <n v="2253.0"/>
        <n v="1213.0"/>
        <n v="5589.0"/>
        <n v="321.0"/>
        <n v="1652.0"/>
        <n v="410.0"/>
        <n v="11156.0"/>
        <n v="512.0"/>
        <n v="2788.0"/>
        <n v="2012.0"/>
        <n v="2399.0"/>
        <n v="3239.0"/>
        <n v="3122.0"/>
        <n v="2019.0"/>
        <n v="1264.0"/>
        <n v="4111.0"/>
        <n v="1288.0"/>
        <n v="3780.0"/>
        <n v="599.0"/>
        <n v="768.0"/>
        <n v="2901.0"/>
        <n v="2813.0"/>
        <n v="9418.0"/>
        <n v="8066.0"/>
        <n v="1960.0"/>
        <n v="1098.0"/>
        <n v="2129.0"/>
        <n v="1571.0"/>
        <n v="2453.0"/>
        <n v="1568.0"/>
        <n v="605.0"/>
        <n v="11534.0"/>
        <n v="9696.0"/>
        <n v="3101.0"/>
        <n v="1648.0"/>
        <n v="1611.0"/>
        <n v="2619.0"/>
        <n v="2076.0"/>
        <n v="6720.0"/>
        <n v="2268.0"/>
        <n v="4072.0"/>
        <n v="3445.0"/>
        <n v="404.0"/>
        <n v="212.0"/>
        <n v="8033.0"/>
        <n v="87.0"/>
        <n v="980.0"/>
        <n v="264.0"/>
        <n v="3095.0"/>
        <n v="2318.0"/>
        <n v="8043.0"/>
        <n v="2941.0"/>
        <n v="2142.0"/>
        <n v="7651.0"/>
        <n v="3837.0"/>
        <n v="5264.0"/>
        <n v="1610.0"/>
        <n v="1517.0"/>
        <n v="2943.0"/>
        <n v="1627.0"/>
        <n v="2120.0"/>
        <n v="2294.0"/>
        <n v="127.0"/>
        <n v="12350.0"/>
        <n v="3263.0"/>
        <n v="6090.0"/>
        <n v="1236.0"/>
        <n v="1344.0"/>
        <n v="4822.0"/>
        <n v="4082.0"/>
        <n v="3209.0"/>
        <n v="6264.0"/>
        <n v="1274.0"/>
        <n v="2771.0"/>
        <n v="1470.0"/>
        <n v="8035.0"/>
        <n v="1174.0"/>
        <n v="2908.0"/>
        <n v="2392.0"/>
        <n v="1650.0"/>
        <n v="10415.0"/>
        <n v="282.0"/>
        <n v="1901.0"/>
        <n v="1076.0"/>
        <n v="2289.0"/>
        <n v="1690.0"/>
        <n v="429.0"/>
        <n v="3206.0"/>
        <n v="7095.0"/>
        <n v="2634.0"/>
        <n v="70.0"/>
        <n v="733.0"/>
        <n v="5931.0"/>
        <n v="1921.0"/>
        <n v="6369.0"/>
        <n v="428.0"/>
        <n v="470.0"/>
        <n v="4091.0"/>
        <n v="1646.0"/>
        <n v="3530.0"/>
        <n v="646.0"/>
        <n v="5905.0"/>
        <n v="113.0"/>
        <n v="2345.0"/>
        <n v="2387.0"/>
        <n v="2046.0"/>
        <n v="3662.0"/>
        <n v="10046.0"/>
        <n v="1698.0"/>
        <n v="1167.0"/>
        <n v="1181.0"/>
        <n v="2505.0"/>
        <n v="2055.0"/>
        <n v="1409.0"/>
        <n v="2724.0"/>
        <n v="12032.0"/>
        <n v="8456.0"/>
        <n v="586.0"/>
        <n v="439.0"/>
        <n v="60.0"/>
        <n v="536.0"/>
        <n v="490.0"/>
        <n v="1957.0"/>
        <n v="2088.0"/>
        <n v="2786.0"/>
        <n v="389.0"/>
        <n v="96.0"/>
        <n v="2693.0"/>
        <n v="1305.0"/>
        <n v="3805.0"/>
        <n v="2874.0"/>
        <n v="1476.0"/>
        <n v="8557.0"/>
        <n v="210.0"/>
        <n v="309.0"/>
        <n v="651.0"/>
        <n v="1210.0"/>
        <n v="4108.0"/>
        <n v="8730.0"/>
        <n v="2396.0"/>
        <n v="4698.0"/>
        <n v="1639.0"/>
        <n v="769.0"/>
        <n v="1645.0"/>
        <n v="5083.0"/>
        <n v="610.0"/>
        <n v="3429.0"/>
        <n v="10314.0"/>
        <n v="8298.0"/>
        <n v="1595.0"/>
        <n v="1187.0"/>
        <n v="98.0"/>
        <n v="1383.0"/>
        <n v="9591.0"/>
        <n v="6576.0"/>
        <n v="2791.0"/>
        <n v="8659.0"/>
        <n v="2015.0"/>
        <n v="1489.0"/>
        <n v="7047.0"/>
        <n v="2291.0"/>
        <n v="64.0"/>
        <n v="311.0"/>
        <n v="10570.0"/>
        <n v="5266.0"/>
        <n v="1856.0"/>
        <n v="1260.0"/>
        <n v="1225.0"/>
        <n v="1898.0"/>
        <n v="7135.0"/>
        <n v="8322.0"/>
        <n v="346.0"/>
        <n v="1293.0"/>
        <n v="690.0"/>
        <n v="4252.0"/>
        <n v="2455.0"/>
        <n v="1736.0"/>
        <n v="477.0"/>
        <n v="10995.0"/>
        <n v="445.0"/>
        <n v="1066.0"/>
        <n v="2087.0"/>
        <n v="2080.0"/>
        <n v="5502.0"/>
        <n v="3089.0"/>
        <n v="2342.0"/>
        <n v="1891.0"/>
        <n v="2665.0"/>
        <n v="3295.0"/>
        <n v="478.0"/>
        <n v="2271.0"/>
        <n v="1649.0"/>
        <n v="1912.0"/>
        <n v="4243.0"/>
        <n v="462.0"/>
        <n v="1429.0"/>
        <n v="3357.0"/>
        <n v="1972.0"/>
        <n v="1346.0"/>
        <n v="485.0"/>
        <n v="1675.0"/>
        <n v="214.0"/>
        <n v="2540.0"/>
        <n v="2276.0"/>
        <n v="1016.0"/>
        <n v="8865.0"/>
        <n v="1783.0"/>
        <n v="5128.0"/>
        <n v="2551.0"/>
        <n v="1512.0"/>
        <n v="1558.0"/>
        <n v="1062.0"/>
        <n v="2006.0"/>
        <n v="5648.0"/>
        <n v="3886.0"/>
        <n v="1782.0"/>
        <n v="3383.0"/>
        <n v="2040.0"/>
        <n v="2930.0"/>
        <n v="8991.0"/>
        <n v="650.0"/>
        <n v="4177.0"/>
        <n v="1919.0"/>
        <n v="5914.0"/>
        <n v="4959.0"/>
        <n v="589.0"/>
        <n v="1113.0"/>
        <n v="1757.0"/>
        <n v="1739.0"/>
        <n v="2237.0"/>
        <n v="8911.0"/>
        <n v="175.0"/>
        <n v="3382.0"/>
        <n v="5668.0"/>
        <n v="1608.0"/>
        <n v="1771.0"/>
        <n v="3825.0"/>
        <n v="2149.0"/>
        <n v="111.0"/>
        <n v="6078.0"/>
        <n v="641.0"/>
        <n v="6087.0"/>
        <n v="4773.0"/>
        <n v="2219.0"/>
        <n v="785.0"/>
        <n v="7318.0"/>
        <n v="5320.0"/>
        <n v="1477.0"/>
        <n v="3387.0"/>
        <n v="3509.0"/>
        <n v="2039.0"/>
        <n v="2447.0"/>
        <n v="381.0"/>
        <n v="223.0"/>
        <n v="708.0"/>
        <n v="1753.0"/>
        <n v="1929.0"/>
        <n v="9189.0"/>
        <n v="6180.0"/>
        <n v="480.0"/>
        <n v="2372.0"/>
        <n v="3645.0"/>
        <n v="2361.0"/>
        <n v="5446.0"/>
        <n v="1810.0"/>
        <n v="855.0"/>
        <n v="419.0"/>
        <n v="1251.0"/>
        <n v="857.0"/>
        <n v="80.0"/>
        <n v="2663.0"/>
        <n v="530.0"/>
        <n v="10903.0"/>
        <n v="362.0"/>
        <n v="2589.0"/>
        <n v="3513.0"/>
        <n v="13010.0"/>
        <n v="2859.0"/>
        <n v="1809.0"/>
        <n v="2995.0"/>
        <n v="1857.0"/>
        <n v="1290.0"/>
        <n v="4604.0"/>
        <n v="1936.0"/>
        <n v="5959.0"/>
        <n v="1295.0"/>
        <n v="1651.0"/>
        <n v="1763.0"/>
        <n v="1726.0"/>
        <n v="2355.0"/>
        <n v="2254.0"/>
        <n v="3473.0"/>
        <n v="8333.0"/>
        <n v="11289.0"/>
        <n v="11919.0"/>
        <n v="133.0"/>
        <n v="790.0"/>
        <n v="9428.0"/>
        <n v="2188.0"/>
        <n v="1894.0"/>
        <n v="345.0"/>
        <n v="1807.0"/>
        <n v="4729.0"/>
        <n v="6013.0"/>
        <n v="1970.0"/>
        <n v="8229.0"/>
        <n v="7994.0"/>
        <n v="4166.0"/>
        <n v="6193.0"/>
        <n v="5208.0"/>
        <n v="766.0"/>
        <n v="1765.0"/>
        <n v="157.0"/>
        <n v="3548.0"/>
        <n v="3608.0"/>
        <n v="3411.0"/>
        <n v="2329.0"/>
        <n v="1195.0"/>
        <n v="722.0"/>
        <n v="2615.0"/>
        <n v="9436.0"/>
        <n v="2534.0"/>
        <n v="348.0"/>
        <n v="5576.0"/>
        <n v="1051.0"/>
        <n v="2916.0"/>
        <n v="4890.0"/>
        <n v="2407.0"/>
        <n v="3312.0"/>
        <n v="4083.0"/>
        <n v="427.0"/>
        <n v="9028.0"/>
        <n v="4902.0"/>
        <n v="1680.0"/>
        <n v="5118.0"/>
        <n v="97.0"/>
        <n v="990.0"/>
        <n v="431.0"/>
        <n v="1977.0"/>
        <n v="3227.0"/>
        <n v="1876.0"/>
        <n v="110.0"/>
        <n v="716.0"/>
        <n v="7607.0"/>
        <n v="6514.0"/>
        <n v="2201.0"/>
        <n v="3938.0"/>
        <n v="1932.0"/>
        <n v="7247.0"/>
        <n v="1137.0"/>
        <n v="1609.0"/>
        <n v="2573.0"/>
        <n v="3302.0"/>
        <n v="4044.0"/>
        <n v="5824.0"/>
        <n v="1115.0"/>
        <n v="2013.0"/>
        <n v="2246.0"/>
        <n v="2699.0"/>
        <n v="1161.0"/>
        <n v="6448.0"/>
        <n v="2437.0"/>
        <n v="3457.0"/>
        <n v="2030.0"/>
        <n v="2440.0"/>
        <n v="5457.0"/>
        <n v="4598.0"/>
        <n v="2261.0"/>
        <n v="2884.0"/>
        <n v="85.0"/>
        <n v="8906.0"/>
        <n v="1621.0"/>
        <n v="208.0"/>
        <n v="6805.0"/>
        <n v="71.0"/>
        <n v="804.0"/>
        <n v="4723.0"/>
        <n v="1533.0"/>
        <n v="630.0"/>
        <n v="3541.0"/>
        <n v="11817.0"/>
        <n v="8324.0"/>
        <n v="12219.0"/>
        <n v="4394.0"/>
        <n v="1387.0"/>
        <n v="5999.0"/>
        <n v="3546.0"/>
        <n v="1962.0"/>
        <n v="1789.0"/>
        <n v="3700.0"/>
        <n v="7053.0"/>
        <n v="197.0"/>
        <n v="1665.0"/>
        <n v="399.0"/>
        <n v="2989.0"/>
        <n v="1377.0"/>
        <n v="1248.0"/>
        <n v="2026.0"/>
        <n v="2685.0"/>
        <n v="548.0"/>
        <n v="6978.0"/>
        <n v="1808.0"/>
        <n v="456.0"/>
        <n v="1199.0"/>
        <n v="5215.0"/>
        <n v="8423.0"/>
        <n v="2238.0"/>
        <n v="1683.0"/>
        <n v="527.0"/>
        <n v="580.0"/>
        <n v="4547.0"/>
        <n v="3372.0"/>
        <n v="9572.0"/>
        <n v="14524.0"/>
        <n v="2093.0"/>
        <n v="2847.0"/>
        <n v="3911.0"/>
        <n v="1906.0"/>
        <n v="340.0"/>
        <n v="1418.0"/>
        <n v="940.0"/>
        <n v="58.0"/>
        <n v="2037.0"/>
        <n v="2014.0"/>
        <n v="1948.0"/>
        <n v="1419.0"/>
        <n v="564.0"/>
        <n v="8728.0"/>
        <n v="1371.0"/>
        <n v="491.0"/>
        <n v="1472.0"/>
        <n v="1692.0"/>
        <n v="2597.0"/>
        <n v="77.0"/>
        <n v="1888.0"/>
        <n v="1852.0"/>
        <n v="7550.0"/>
        <n v="4424.0"/>
        <n v="801.0"/>
        <n v="600.0"/>
        <n v="1381.0"/>
        <n v="1227.0"/>
        <n v="1358.0"/>
        <n v="1216.0"/>
        <n v="1343.0"/>
        <n v="3226.0"/>
        <n v="4507.0"/>
        <n v="1442.0"/>
        <n v="667.0"/>
        <n v="1702.0"/>
        <n v="6332.0"/>
        <n v="994.0"/>
        <n v="850.0"/>
        <n v="1334.0"/>
        <n v="476.0"/>
        <n v="12336.0"/>
        <n v="1366.0"/>
        <n v="5056.0"/>
        <n v="709.0"/>
        <n v="3464.0"/>
        <n v="1819.0"/>
        <n v="528.0"/>
        <n v="326.0"/>
        <n v="2793.0"/>
        <n v="2472.0"/>
        <n v="228.0"/>
        <n v="2957.0"/>
        <n v="11340.0"/>
        <n v="2290.0"/>
        <n v="1457.0"/>
        <n v="2364.0"/>
        <n v="7169.0"/>
        <n v="75.0"/>
        <n v="1882.0"/>
        <n v="1408.0"/>
        <n v="2704.0"/>
        <n v="2174.0"/>
        <n v="5532.0"/>
        <n v="875.0"/>
        <n v="155.0"/>
        <n v="117.0"/>
        <n v="1893.0"/>
        <n v="2195.0"/>
        <n v="1320.0"/>
        <n v="6783.0"/>
        <n v="1676.0"/>
        <n v="2240.0"/>
        <n v="697.0"/>
        <n v="3322.0"/>
        <n v="56.0"/>
        <n v="2184.0"/>
        <n v="901.0"/>
        <n v="1576.0"/>
        <n v="926.0"/>
        <n v="1463.0"/>
        <n v="498.0"/>
        <n v="8815.0"/>
        <n v="3038.0"/>
        <n v="3339.0"/>
        <n v="880.0"/>
        <n v="3963.0"/>
        <n v="463.0"/>
        <n v="535.0"/>
        <n v="5946.0"/>
        <n v="4904.0"/>
        <n v="1728.0"/>
        <n v="550.0"/>
        <n v="3142.0"/>
        <n v="2061.0"/>
        <n v="5158.0"/>
        <n v="374.0"/>
        <n v="2636.0"/>
        <n v="3102.0"/>
        <n v="1793.0"/>
        <n v="2563.0"/>
        <n v="2866.0"/>
        <n v="1708.0"/>
        <n v="14425.0"/>
        <n v="6162.0"/>
        <n v="7192.0"/>
        <n v="1823.0"/>
        <n v="2008.0"/>
        <n v="5858.0"/>
        <n v="2993.0"/>
        <n v="2367.0"/>
        <n v="7378.0"/>
        <n v="1979.0"/>
        <n v="1884.0"/>
        <n v="886.0"/>
        <n v="3022.0"/>
        <n v="11844.0"/>
        <n v="88.0"/>
        <n v="812.0"/>
        <n v="3245.0"/>
        <n v="5857.0"/>
        <n v="7097.0"/>
        <n v="519.0"/>
        <n v="2144.0"/>
        <n v="2692.0"/>
        <n v="1165.0"/>
        <n v="2064.0"/>
        <n v="5087.0"/>
        <n v="2624.0"/>
        <n v="1840.0"/>
        <n v="1185.0"/>
        <n v="6160.0"/>
        <n v="3354.0"/>
        <n v="4869.0"/>
        <n v="3029.0"/>
        <n v="1415.0"/>
        <n v="5952.0"/>
        <n v="1633.0"/>
        <n v="1145.0"/>
        <n v="4685.0"/>
        <n v="657.0"/>
        <n v="865.0"/>
        <n v="1551.0"/>
        <n v="2330.0"/>
        <n v="300.0"/>
        <n v="2714.0"/>
        <n v="3260.0"/>
        <n v="2252.0"/>
        <n v="1991.0"/>
        <n v="10214.0"/>
        <n v="190.0"/>
        <n v="1942.0"/>
        <n v="2996.0"/>
        <n v="813.0"/>
        <n v="8928.0"/>
        <n v="11022.0"/>
        <n v="241.0"/>
        <n v="9398.0"/>
        <n v="2994.0"/>
        <n v="304.0"/>
        <n v="6993.0"/>
        <n v="2214.0"/>
        <n v="1543.0"/>
        <n v="6816.0"/>
        <n v="6811.0"/>
        <n v="1604.0"/>
        <n v="3272.0"/>
        <n v="1907.0"/>
        <n v="9124.0"/>
        <n v="1999.0"/>
        <n v="10975.0"/>
        <n v="2095.0"/>
        <n v="3309.0"/>
        <n v="2666.0"/>
        <n v="3276.0"/>
      </sharedItems>
    </cacheField>
    <cacheField name="margem_liquida" numFmtId="166">
      <sharedItems containsSemiMixedTypes="0" containsString="0" containsNumber="1">
        <n v="18654.0"/>
        <n v="4679.199999999997"/>
        <n v="3618.0"/>
        <n v="-1790.9500000000003"/>
        <n v="-554.8000000000002"/>
        <n v="34585.79999999999"/>
        <n v="27649.5"/>
        <n v="523.7999999999993"/>
        <n v="-164.40000000000055"/>
        <n v="-228.60000000000036"/>
        <n v="-2009.449999999999"/>
        <n v="-4317.299999999999"/>
        <n v="2174.199999999999"/>
        <n v="66.79999999999927"/>
        <n v="-2815.7"/>
        <n v="11544.600000000006"/>
        <n v="638.8000000000002"/>
        <n v="1348.6000000000058"/>
        <n v="196.4000000000001"/>
        <n v="4624.0"/>
        <n v="-5773.2"/>
        <n v="23088.70000000001"/>
        <n v="-3452.5"/>
        <n v="3095.4000000000015"/>
        <n v="-426.2000000000007"/>
        <n v="-417.3000000000002"/>
        <n v="1191.0"/>
        <n v="-570.0"/>
        <n v="43783.899999999994"/>
        <n v="9951.799999999988"/>
        <n v="-1576.800000000001"/>
        <n v="328.1999999999998"/>
        <n v="-1176.5"/>
        <n v="7227.600000000006"/>
        <n v="-188.40000000000055"/>
        <n v="2181.199999999999"/>
        <n v="-1751.800000000001"/>
        <n v="13.0"/>
        <n v="-261.20000000000005"/>
        <n v="-989.3000000000002"/>
        <n v="-3544.5999999999995"/>
        <n v="-2818.1"/>
        <n v="5300.0"/>
        <n v="-163.60000000000036"/>
        <n v="2943.800000000001"/>
        <n v="-2538.0"/>
        <n v="14055.199999999997"/>
        <n v="-2140.699999999999"/>
        <n v="-3865.0"/>
        <n v="-1105.4"/>
        <n v="-662.0999999999985"/>
        <n v="165.5"/>
        <n v="43659.0"/>
        <n v="382.1999999999998"/>
        <n v="-5191.25"/>
        <n v="-3133.9000000000005"/>
        <n v="-2213.8"/>
        <n v="4456.399999999998"/>
        <n v="1150.5"/>
        <n v="8894.400000000001"/>
        <n v="2420.4000000000015"/>
        <n v="-5725.15"/>
        <n v="-461.7000000000007"/>
        <n v="-445.5999999999999"/>
        <n v="-2295.6000000000004"/>
        <n v="164.10000000000036"/>
        <n v="11902.800000000003"/>
        <n v="13817.200000000012"/>
        <n v="-1433.300000000003"/>
        <n v="4698.600000000002"/>
        <n v="-1969.6000000000004"/>
        <n v="18.400000000000546"/>
        <n v="-253.39999999999964"/>
        <n v="-1472.4000000000015"/>
        <n v="-1865.6000000000004"/>
        <n v="44857.600000000006"/>
        <n v="6881.5999999999985"/>
        <n v="3157.699999999997"/>
        <n v="476.0"/>
        <n v="-166.60000000000218"/>
        <n v="9316.949999999997"/>
        <n v="3111.9000000000015"/>
        <n v="-1924.1999999999998"/>
        <n v="2875.0"/>
        <n v="33734.80000000002"/>
        <n v="-3199.0"/>
        <n v="-653.8000000000002"/>
        <n v="-411.0"/>
        <n v="528.5999999999985"/>
        <n v="-216.10000000000036"/>
        <n v="-603.4000000000005"/>
        <n v="1990.7999999999993"/>
        <n v="6173.800000000003"/>
        <n v="-3601.9000000000015"/>
        <n v="5832.600000000006"/>
        <n v="15458.800000000003"/>
        <n v="-643.0"/>
        <n v="3470.4000000000015"/>
        <n v="-1000.3499999999985"/>
        <n v="-537.5"/>
        <n v="-5021.799999999999"/>
        <n v="990.5999999999985"/>
        <n v="-2733.7000000000007"/>
        <n v="-257.7999999999993"/>
        <n v="9250.400000000001"/>
        <n v="4828.799999999999"/>
        <n v="1563.699999999997"/>
        <n v="611.5999999999999"/>
        <n v="687.3999999999996"/>
        <n v="5568.5"/>
        <n v="-2154.3"/>
        <n v="431.60000000000036"/>
        <n v="-6822.299999999999"/>
        <n v="-1862.2000000000007"/>
        <n v="3017.7000000000007"/>
        <n v="18235.70000000001"/>
        <n v="-3368.2000000000003"/>
        <n v="-4602.799999999999"/>
        <n v="334.2999999999993"/>
        <n v="3656.0"/>
        <n v="-1840.5"/>
        <n v="-329.0"/>
        <n v="-560.0"/>
        <n v="8373.399999999994"/>
        <n v="2150.0"/>
        <n v="41248.59999999998"/>
        <n v="-1316.3999999999996"/>
        <n v="-2412.5"/>
        <n v="-4121.200000000001"/>
        <n v="34.899999999999636"/>
        <n v="1475.3999999999996"/>
        <n v="-1470.6000000000022"/>
        <n v="-3279.5499999999993"/>
        <n v="-745.7000000000007"/>
        <n v="71541.99999999997"/>
        <n v="-647.8999999999996"/>
        <n v="3.399999999999636"/>
        <n v="25866.399999999994"/>
        <n v="-4381.9"/>
        <n v="588.2000000000007"/>
        <n v="2808.800000000003"/>
        <n v="-1387.8000000000002"/>
        <n v="-1149.7000000000003"/>
        <n v="9369.199999999997"/>
        <n v="3554.300000000003"/>
        <n v="-1180.5"/>
        <n v="3438.199999999997"/>
        <n v="3139.7999999999993"/>
        <n v="-1384.3000000000002"/>
        <n v="1843.6000000000022"/>
        <n v="-826.0"/>
        <n v="-6797.8"/>
        <n v="1060.949999999999"/>
        <n v="2916.3999999999996"/>
        <n v="2339.800000000001"/>
        <n v="9097.200000000012"/>
        <n v="-442.2999999999993"/>
        <n v="-5550.3"/>
        <n v="597.75"/>
        <n v="6500.699999999997"/>
        <n v="2639.2000000000007"/>
        <n v="1438.2000000000007"/>
        <n v="-1483.3999999999996"/>
        <n v="1915.6000000000004"/>
        <n v="35717.899999999994"/>
        <n v="10455.599999999999"/>
        <n v="-1315.3999999999996"/>
        <n v="-1475.6000000000004"/>
        <n v="-872.1000000000004"/>
        <n v="1169.0"/>
        <n v="-3750.149999999998"/>
        <n v="-74.34999999999945"/>
        <n v="2712.3999999999996"/>
        <n v="553.2999999999993"/>
        <n v="-73.89999999999964"/>
        <n v="2313.9000000000015"/>
        <n v="2787.7999999999993"/>
        <n v="2321.600000000002"/>
        <n v="23994.0"/>
        <n v="14221.199999999997"/>
        <n v="-145.0"/>
        <n v="3769.0"/>
        <n v="2328.3999999999996"/>
        <n v="1150.2000000000007"/>
        <n v="11859.199999999997"/>
        <n v="-1015.2999999999993"/>
        <n v="670.0"/>
        <n v="2773.9000000000015"/>
        <n v="46.30000000000018"/>
        <n v="3411.2999999999993"/>
        <n v="-2176.7"/>
        <n v="6192.800000000003"/>
        <n v="-3053.0"/>
        <n v="-1657.5"/>
        <n v="746.7000000000007"/>
        <n v="-6374.049999999999"/>
        <n v="5050.0"/>
        <n v="6650.800000000003"/>
        <n v="639.4000000000005"/>
        <n v="387.0"/>
        <n v="1322.5999999999985"/>
        <n v="90.89999999999418"/>
        <n v="424.0"/>
        <n v="-3812.4000000000005"/>
        <n v="-1033.3999999999996"/>
        <n v="560.8999999999996"/>
        <n v="2548.0"/>
        <n v="-3131.0499999999993"/>
        <n v="-185.0999999999999"/>
        <n v="-1924.5"/>
        <n v="734.6000000000004"/>
        <n v="14994.5"/>
        <n v="-24.899999999997817"/>
        <n v="9961.799999999996"/>
        <n v="18181.0"/>
        <n v="-253.10000000000036"/>
        <n v="1572.3499999999985"/>
        <n v="-719.7999999999997"/>
        <n v="47591.59999999998"/>
        <n v="16450.5"/>
        <n v="-1518.6000000000004"/>
        <n v="2817.0"/>
        <n v="-1527.0"/>
        <n v="-621.6999999999998"/>
        <n v="-6128.0"/>
        <n v="-547.8000000000011"/>
        <n v="5819.5999999999985"/>
        <n v="2710.5"/>
        <n v="116670.0"/>
        <n v="27673.800000000003"/>
        <n v="17046.800000000003"/>
        <n v="879.0"/>
        <n v="9746.049999999996"/>
        <n v="280.0"/>
        <n v="2295.8499999999985"/>
        <n v="-1085.3000000000002"/>
        <n v="25383.04999999999"/>
        <n v="909.3000000000029"/>
        <n v="7815.199999999997"/>
        <n v="236.59999999999945"/>
        <n v="4437.8499999999985"/>
        <n v="2448.649999999994"/>
        <n v="-1697.8999999999996"/>
        <n v="-1166.0"/>
        <n v="3875.699999999997"/>
        <n v="-5462.550000000003"/>
        <n v="13999.799999999996"/>
        <n v="6697.600000000002"/>
        <n v="928.0999999999985"/>
        <n v="-577.1000000000004"/>
        <n v="962.0"/>
        <n v="-3742.0"/>
        <n v="-2163.7999999999993"/>
        <n v="-1156.4000000000005"/>
        <n v="-316.0"/>
        <n v="1822.7000000000007"/>
        <n v="-941.2000000000007"/>
        <n v="1752.5"/>
        <n v="4273.25"/>
        <n v="-325.6999999999989"/>
        <n v="2155.0"/>
        <n v="4830.300000000003"/>
        <n v="1110.5"/>
        <n v="-574.3000000000002"/>
        <n v="-1648.2000000000007"/>
        <n v="2918.7999999999993"/>
        <n v="775.1999999999989"/>
        <n v="1484.8000000000002"/>
        <n v="567.8999999999996"/>
        <n v="4934.9000000000015"/>
        <n v="1403.5"/>
        <n v="-201.19999999999982"/>
        <n v="7790.5999999999985"/>
        <n v="-1662.0"/>
        <n v="-124.60000000000036"/>
        <n v="-2542.300000000001"/>
        <n v="1126.2000000000007"/>
        <n v="524.6999999999989"/>
        <n v="1784.5"/>
        <n v="9989.700000000004"/>
        <n v="805.0"/>
        <n v="6379.200000000001"/>
        <n v="-4004.2000000000007"/>
        <n v="4054.5999999999985"/>
        <n v="47821.19999999998"/>
        <n v="4.900000000001455"/>
        <n v="-1091.1000000000004"/>
        <n v="-2226.2"/>
        <n v="10477.599999999999"/>
        <n v="791.1999999999998"/>
        <n v="-2621.8"/>
        <n v="1062.4000000000015"/>
        <n v="-4249.700000000001"/>
        <n v="-2914.800000000001"/>
        <n v="1775.4500000000007"/>
        <n v="-69.40000000000009"/>
        <n v="3968.600000000002"/>
        <n v="-1241.0"/>
        <n v="261.09999999999945"/>
        <n v="7728.899999999994"/>
        <n v="11633.199999999997"/>
        <n v="-2583.0999999999985"/>
        <n v="6765.199999999997"/>
        <n v="-374.2000000000007"/>
        <n v="-5086.3"/>
        <n v="959.3000000000011"/>
        <n v="67.59999999999854"/>
        <n v="-245.59999999999854"/>
        <n v="-1070.0499999999997"/>
        <n v="801.0"/>
        <n v="20568.5"/>
        <n v="1545.3999999999996"/>
        <n v="-3490.2000000000007"/>
        <n v="-2939.3999999999996"/>
        <n v="3066.600000000002"/>
        <n v="1884.6000000000004"/>
        <n v="381.4499999999971"/>
        <n v="-3326.7999999999993"/>
        <n v="4075.699999999997"/>
        <n v="-2255.1000000000004"/>
        <n v="-2653.1000000000004"/>
        <n v="513.2000000000007"/>
        <n v="-1347.2000000000007"/>
        <n v="1455.0"/>
        <n v="1064.2000000000007"/>
        <n v="2865.0"/>
        <n v="-37.69999999999982"/>
        <n v="1808.2499999999982"/>
        <n v="33494.59999999999"/>
        <n v="26595.300000000003"/>
        <n v="5751.9000000000015"/>
        <n v="-442.5"/>
        <n v="-1504.7999999999993"/>
        <n v="-1233.5"/>
        <n v="-4323.599999999999"/>
        <n v="5764.699999999997"/>
        <n v="1978.6000000000022"/>
        <n v="379.2999999999993"/>
        <n v="690.2999999999993"/>
        <n v="-571.9000000000001"/>
        <n v="1279.6999999999998"/>
        <n v="-1539.7999999999993"/>
        <n v="1001.7999999999993"/>
        <n v="47007.0"/>
        <n v="11735.5"/>
        <n v="219.69999999999982"/>
        <n v="-1785.0"/>
        <n v="356.90000000000146"/>
        <n v="634.9500000000116"/>
        <n v="104.5"/>
        <n v="7204.199999999997"/>
        <n v="1251.9000000000015"/>
        <n v="-577.3999999999996"/>
        <n v="-409.5"/>
        <n v="16.299999999999272"/>
        <n v="2372.800000000003"/>
        <n v="3843.800000000003"/>
        <n v="39570.399999999994"/>
        <n v="7672.0"/>
        <n v="766.2999999999993"/>
        <n v="-748.6000000000004"/>
        <n v="-1126.6"/>
        <n v="802.7999999999993"/>
        <n v="2260.5"/>
        <n v="-1032.1999999999998"/>
        <n v="-1041.6000000000004"/>
        <n v="36088.30000000002"/>
        <n v="10939.350000000006"/>
        <n v="24394.699999999983"/>
        <n v="8264.599999999999"/>
        <n v="16250.800000000003"/>
        <n v="35388.600000000006"/>
        <n v="-580.1000000000004"/>
        <n v="266.2999999999993"/>
        <n v="1081.6500000000015"/>
        <n v="3279.7000000000007"/>
        <n v="-2551.5"/>
        <n v="3142.5999999999985"/>
        <n v="-496.60000000000036"/>
        <n v="-1918.0999999999985"/>
        <n v="-680.5"/>
        <n v="310.40000000000146"/>
        <n v="-837.5"/>
        <n v="13921.149999999994"/>
        <n v="8702.800000000003"/>
        <n v="-2210.0"/>
        <n v="-4715.200000000001"/>
        <n v="-770.5999999999985"/>
        <n v="2014.2000000000007"/>
        <n v="-864.2000000000003"/>
        <n v="13733.899999999994"/>
        <n v="-22.19999999999891"/>
        <n v="-1316.3499999999985"/>
        <n v="-2346.8999999999996"/>
        <n v="-470.7999999999993"/>
        <n v="160.85000000000036"/>
        <n v="412.3000000000002"/>
        <n v="175.59999999999854"/>
        <n v="36711.600000000006"/>
        <n v="-1957.1999999999998"/>
        <n v="1791.199999999999"/>
        <n v="-3024.5"/>
        <n v="4660.4000000000015"/>
        <n v="-1369.25"/>
        <n v="1098.2000000000007"/>
        <n v="-1497.0999999999985"/>
        <n v="-1467.8000000000002"/>
        <n v="-2273.5999999999995"/>
        <n v="-3105.6499999999996"/>
        <n v="-40.30000000000018"/>
        <n v="671.6000000000004"/>
        <n v="21440.0"/>
        <n v="2443.100000000006"/>
        <n v="-732.0"/>
        <n v="-4646.5"/>
        <n v="996.2000000000007"/>
        <n v="-126.09999999999945"/>
        <n v="897.6000000000004"/>
        <n v="-1245.3999999999996"/>
        <n v="2122.4000000000015"/>
        <n v="-762.3999999999996"/>
        <n v="-1970.8000000000002"/>
        <n v="1758.3000000000002"/>
        <n v="99.69999999999982"/>
        <n v="11603.5"/>
        <n v="-5209.1"/>
        <n v="1024.5999999999985"/>
        <n v="-1966.0999999999985"/>
        <n v="1302.2999999999993"/>
        <n v="-6619.4"/>
        <n v="-496.5999999999999"/>
        <n v="-552.4500000000007"/>
        <n v="-1980.8000000000002"/>
        <n v="1747.0"/>
        <n v="-2191.0499999999993"/>
        <n v="-4393.0"/>
        <n v="-213.20000000000073"/>
        <n v="-1775.6999999999998"/>
        <n v="-1294.5999999999995"/>
        <n v="69.89999999999964"/>
        <n v="2149.399999999998"/>
        <n v="-4432.25"/>
        <n v="5845.800000000003"/>
        <n v="1159.6000000000004"/>
        <n v="1507.699999999997"/>
        <n v="1076.1500000000015"/>
        <n v="5794.800000000003"/>
        <n v="-5001.6"/>
        <n v="-3046.4500000000007"/>
        <n v="-121.79999999999927"/>
        <n v="-864.8000000000011"/>
        <n v="3925.5999999999985"/>
        <n v="66476.5"/>
        <n v="23951.70000000001"/>
        <n v="6746.399999999998"/>
        <n v="13577.800000000003"/>
        <n v="-296.1999999999971"/>
        <n v="480.5"/>
        <n v="2172.0"/>
        <n v="1093.0"/>
        <n v="2040.2000000000044"/>
        <n v="2272.800000000003"/>
        <n v="380.85000000000036"/>
        <n v="-1499.7000000000007"/>
        <n v="-1096.1000000000004"/>
        <n v="142684.99999999994"/>
        <n v="31886.29999999999"/>
        <n v="21350.800000000017"/>
        <n v="-672.3999999999978"/>
        <n v="2538.6000000000004"/>
        <n v="-718.8000000000002"/>
        <n v="-766.3999999999978"/>
        <n v="266.40000000000146"/>
        <n v="6985.200000000004"/>
        <n v="-388.5"/>
        <n v="2931.800000000003"/>
        <n v="18394.20000000001"/>
        <n v="1314.7000000000007"/>
        <n v="1237.5"/>
        <n v="1482.9000000000015"/>
        <n v="363.5"/>
        <n v="-811.1999999999998"/>
        <n v="1319.2999999999993"/>
        <n v="-1243.4000000000005"/>
        <n v="-2008.9"/>
        <n v="4479.75"/>
        <n v="-361.70000000000005"/>
        <n v="36990.0"/>
        <n v="22152.20000000001"/>
        <n v="-795.2"/>
        <n v="-257.59999999999945"/>
        <n v="756.3999999999996"/>
        <n v="1245.2999999999993"/>
        <n v="6868.799999999999"/>
        <n v="20443.34999999999"/>
        <n v="12591.950000000012"/>
        <n v="-684.0"/>
        <n v="1590.2000000000007"/>
        <n v="2146.1000000000004"/>
        <n v="1801.3999999999996"/>
        <n v="-2043.4500000000007"/>
        <n v="-2682.3"/>
        <n v="895.0"/>
        <n v="7526.450000000012"/>
        <n v="2195.0"/>
        <n v="-254.5"/>
        <n v="-2837.4000000000005"/>
        <n v="-718.6999999999998"/>
        <n v="2992.7999999999993"/>
        <n v="407.7999999999993"/>
        <n v="453.5"/>
        <n v="2996.2999999999993"/>
        <n v="-1204.0"/>
        <n v="-20.799999999999272"/>
        <n v="-1609.6"/>
        <n v="25880.699999999983"/>
        <n v="12393.899999999994"/>
        <n v="12243.549999999988"/>
        <n v="8422.599999999999"/>
        <n v="19.899999999999636"/>
        <n v="-666.5"/>
        <n v="-1200.8999999999996"/>
        <n v="-1195.1999999999998"/>
        <n v="839.2000000000007"/>
        <n v="1154.3999999999996"/>
        <n v="-430.5"/>
        <n v="-6850.799999999999"/>
        <n v="-2422.2000000000007"/>
        <n v="610.7999999999993"/>
        <n v="20094.40000000001"/>
        <n v="27779.600000000006"/>
        <n v="1004.1000000000004"/>
        <n v="223.29999999999927"/>
        <n v="1576.0"/>
        <n v="-165.79999999999927"/>
        <n v="13111.200000000012"/>
        <n v="-3887.7999999999997"/>
        <n v="-503.7000000000007"/>
        <n v="2579.2999999999993"/>
        <n v="-1122.7999999999997"/>
        <n v="-4068.3999999999996"/>
        <n v="-635.5999999999999"/>
        <n v="-9.600000000000364"/>
        <n v="-851.3000000000002"/>
        <n v="-43.69999999999982"/>
        <n v="6776.200000000012"/>
        <n v="-1039.3"/>
        <n v="-1746.6000000000004"/>
        <n v="-3260.0"/>
        <n v="916.7000000000007"/>
        <n v="-1031.6000000000004"/>
        <n v="378.60000000000036"/>
        <n v="2962.399999999998"/>
        <n v="5301.199999999997"/>
        <n v="6035.25"/>
        <n v="2186.7000000000007"/>
        <n v="-1194.7000000000007"/>
        <n v="-531.1999999999989"/>
        <n v="5142.0"/>
        <n v="293.0"/>
        <n v="2393.399999999998"/>
        <n v="40152.40000000002"/>
        <n v="11468.699999999997"/>
        <n v="-155.70000000000073"/>
        <n v="-1482.0"/>
        <n v="-4928.199999999999"/>
        <n v="29.100000000000023"/>
        <n v="440.39999999999964"/>
        <n v="3990.2000000000007"/>
        <n v="9780.699999999997"/>
        <n v="-674.8000000000011"/>
        <n v="-161.0"/>
        <n v="-3536.699999999999"/>
        <n v="-213.9000000000001"/>
        <n v="2663.75"/>
        <n v="4582.800000000003"/>
        <n v="-188.70000000000073"/>
        <n v="3283.0"/>
        <n v="30107.199999999997"/>
        <n v="19974.29999999999"/>
        <n v="-1275.5"/>
        <n v="338.4000000000001"/>
        <n v="938.0"/>
        <n v="-1731.1999999999998"/>
        <n v="3365.9000000000015"/>
        <n v="524.5999999999985"/>
        <n v="1919.199999999999"/>
        <n v="-1594.6"/>
        <n v="-419.4000000000001"/>
        <n v="3819.800000000003"/>
        <n v="1132.2999999999993"/>
        <n v="-396.1999999999998"/>
        <n v="12412.0"/>
        <n v="5188.799999999996"/>
        <n v="-2059.7000000000003"/>
        <n v="-69.39999999999782"/>
        <n v="2917.0"/>
        <n v="2476.5"/>
        <n v="11905.800000000003"/>
        <n v="921.8000000000002"/>
        <n v="9358.600000000006"/>
        <n v="-1944.199999999997"/>
        <n v="-528.9000000000015"/>
        <n v="-4061.5499999999997"/>
        <n v="1428.6000000000022"/>
        <n v="181.39999999999964"/>
        <n v="-2340.6499999999996"/>
        <n v="-1368.2000000000003"/>
        <n v="-2244.2000000000007"/>
        <n v="3654.199999999997"/>
        <n v="528.0"/>
        <n v="-1205.5999999999985"/>
        <n v="607.0"/>
        <n v="2104.899999999998"/>
        <n v="-792.2999999999993"/>
        <n v="34140.19999999998"/>
        <n v="-713.5"/>
        <n v="975.1999999999998"/>
        <n v="-4587.800000000001"/>
        <n v="-4762.0999999999985"/>
        <n v="588.1999999999989"/>
        <n v="12.200000000000728"/>
        <n v="-2073.199999999999"/>
        <n v="-1520.8999999999996"/>
        <n v="243.89999999999964"/>
        <n v="30843.400000000023"/>
        <n v="-338.0"/>
        <n v="6251.800000000003"/>
        <n v="4145.0"/>
        <n v="2193.0999999999985"/>
        <n v="-638.5"/>
        <n v="5698.0"/>
        <n v="12139.299999999996"/>
        <n v="3647.699999999997"/>
        <n v="-846.4500000000007"/>
        <n v="-1759.8999999999996"/>
        <n v="-119.5"/>
        <n v="-3847.500000000002"/>
        <n v="426.7999999999993"/>
        <n v="3316.0"/>
        <n v="3183.7999999999993"/>
        <n v="1616.0"/>
        <n v="7100.4000000000015"/>
        <n v="-3905.5"/>
        <n v="-1189.3999999999996"/>
        <n v="-935.7999999999993"/>
        <n v="671.4000000000005"/>
        <n v="49391.80000000002"/>
        <n v="216.0"/>
        <n v="-764.0999999999985"/>
        <n v="-832.0999999999995"/>
        <n v="-219.69999999999982"/>
        <n v="-1922.0999999999985"/>
        <n v="-236.80000000000018"/>
        <n v="2504.7999999999993"/>
        <n v="-1007.1000000000004"/>
        <n v="17.0"/>
        <n v="-1872.6000000000004"/>
        <n v="15618.049999999988"/>
        <n v="6299.899999999998"/>
        <n v="627.0"/>
        <n v="-1013.8000000000002"/>
        <n v="22.800000000000182"/>
        <n v="-1016.8999999999996"/>
        <n v="2732.7999999999993"/>
        <n v="2452.300000000003"/>
        <n v="-529.6000000000004"/>
        <n v="-1617.6000000000001"/>
        <n v="16694.0"/>
        <n v="8067.5999999999985"/>
        <n v="-202.0"/>
        <n v="-1008.7999999999993"/>
        <n v="-351.2000000000007"/>
        <n v="1797.3999999999996"/>
        <n v="33620.70000000001"/>
        <n v="26930.100000000006"/>
        <n v="2595.7999999999993"/>
        <n v="-3905.699999999997"/>
        <n v="29.900000000001455"/>
        <n v="6762.800000000003"/>
        <n v="-5900.1"/>
        <n v="-715.5"/>
        <n v="-88.59999999999945"/>
        <n v="-5081.9"/>
        <n v="-5525.8"/>
        <n v="1391.3999999999996"/>
        <n v="5853.25"/>
        <n v="1670.5"/>
        <n v="50032.25"/>
        <n v="9882.5"/>
        <n v="16774.0"/>
        <n v="1771.9000000000015"/>
        <n v="-1711.8000000000002"/>
        <n v="-4443.8"/>
        <n v="5572.600000000002"/>
        <n v="-1716.5999999999985"/>
      </sharedItems>
    </cacheField>
    <cacheField name="status" numFmtId="0">
      <sharedItems>
        <s v="entregue"/>
        <s v="em-producao"/>
        <s v="atrasado"/>
        <s v="cancelado"/>
        <s v="perdido"/>
      </sharedItems>
    </cacheField>
    <cacheField name="margem %" formula="SUM(margem_liquida)/SUM(valor_total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álises" cacheId="0" dataCaption="" rowGrandTotals="0" compact="0" compactData="0">
  <location ref="A1:B4" firstHeaderRow="0" firstDataRow="1" firstDataCol="0"/>
  <pivotFields>
    <pivotField name="pedido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t="default"/>
      </items>
    </pivotField>
    <pivotField name="dat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Mês" axis="axisRow" compact="0" numFmtId="165" outline="0" multipleItemSelectionAllowed="1" showAll="0" sortType="ascending">
      <items>
        <item x="0"/>
        <item x="1"/>
        <item x="2"/>
        <item t="default"/>
      </items>
    </pivotField>
    <pivotField name="data_entrega_prometi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data_entrega_re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cliente_co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eg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endedor_co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td_linhas" compact="0" outline="0" multipleItemSelectionAllowed="1" showAll="0">
      <items>
        <item x="0"/>
        <item x="1"/>
        <item x="2"/>
        <item t="default"/>
      </items>
    </pivotField>
    <pivotField name="valor_total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custo_produto_tot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t="default"/>
      </items>
    </pivotField>
    <pivotField name="margem_bru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frete_re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t="default"/>
      </items>
    </pivotField>
    <pivotField name="margem_liquid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compact="0" outline="0" subtotalTop="0" dragToRow="0" dragToCol="0" dragToPage="0" showAll="0" includeNewItemsInFilter="1" defaultSubtotal="0"/>
  </pivotFields>
  <rowFields>
    <field x="2"/>
  </rowFields>
  <dataFields>
    <dataField name="SUM of valor_total" fld="10" baseField="0"/>
  </dataFields>
</pivotTableDefinition>
</file>

<file path=xl/pivotTables/pivotTable2.xml><?xml version="1.0" encoding="utf-8"?>
<pivotTableDefinition xmlns="http://schemas.openxmlformats.org/spreadsheetml/2006/main" name="Análises 2" cacheId="0" dataCaption="" rowGrandTotals="0" compact="0" compactData="0">
  <location ref="E1:H9" firstHeaderRow="0" firstDataRow="2" firstDataCol="0"/>
  <pivotFields>
    <pivotField name="pedido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t="default"/>
      </items>
    </pivotField>
    <pivotField name="dat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Mês" compact="0" numFmtId="165" outline="0" multipleItemSelectionAllowed="1" showAll="0">
      <items>
        <item x="0"/>
        <item x="1"/>
        <item x="2"/>
        <item t="default"/>
      </items>
    </pivotField>
    <pivotField name="data_entrega_prometi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data_entrega_re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cliente_co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egment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vendedor_co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td_linhas" compact="0" outline="0" multipleItemSelectionAllowed="1" showAll="0">
      <items>
        <item x="0"/>
        <item x="1"/>
        <item x="2"/>
        <item t="default"/>
      </items>
    </pivotField>
    <pivotField name="valor_total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custo_produto_tot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t="default"/>
      </items>
    </pivotField>
    <pivotField name="margem_bru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frete_re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t="default"/>
      </items>
    </pivotField>
    <pivotField name="margem_liquid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7"/>
  </rowFields>
  <colFields>
    <field x="-2"/>
  </colFields>
  <dataFields>
    <dataField name="faturamento" fld="10" baseField="0"/>
    <dataField name="margem liquida" fld="14" baseField="0"/>
    <dataField name="SUM of margem %" fld="16" baseField="0"/>
  </dataFields>
</pivotTableDefinition>
</file>

<file path=xl/pivotTables/pivotTable3.xml><?xml version="1.0" encoding="utf-8"?>
<pivotTableDefinition xmlns="http://schemas.openxmlformats.org/spreadsheetml/2006/main" name="Análises 3" cacheId="0" dataCaption="" rowGrandTotals="0" compact="0" compactData="0">
  <location ref="A6:B106" firstHeaderRow="0" firstDataRow="1" firstDataCol="0"/>
  <pivotFields>
    <pivotField name="pedido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t="default"/>
      </items>
    </pivotField>
    <pivotField name="data_ped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Mês" compact="0" numFmtId="165" outline="0" multipleItemSelectionAllowed="1" showAll="0">
      <items>
        <item x="0"/>
        <item x="1"/>
        <item x="2"/>
        <item t="default"/>
      </items>
    </pivotField>
    <pivotField name="data_entrega_prometi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data_entrega_re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cliente_co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_clien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eg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endedor_codig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td_linhas" compact="0" outline="0" multipleItemSelectionAllowed="1" showAll="0">
      <items>
        <item x="0"/>
        <item x="1"/>
        <item x="2"/>
        <item t="default"/>
      </items>
    </pivotField>
    <pivotField name="valor_total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custo_produto_tot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t="default"/>
      </items>
    </pivotField>
    <pivotField name="margem_bru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t="default"/>
      </items>
    </pivotField>
    <pivotField name="frete_re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t="default"/>
      </items>
    </pivotField>
    <pivotField name="margem_liquid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compact="0" outline="0" subtotalTop="0" dragToRow="0" dragToCol="0" dragToPage="0" showAll="0" includeNewItemsInFilter="1" defaultSubtotal="0"/>
  </pivotFields>
  <rowFields>
    <field x="6"/>
  </rowFields>
  <dataFields>
    <dataField name="SUM of valor_total" fld="10" baseField="0"/>
  </dataFields>
</pivotTableDefinition>
</file>

<file path=xl/tables/table1.xml><?xml version="1.0" encoding="utf-8"?>
<table xmlns="http://schemas.openxmlformats.org/spreadsheetml/2006/main" ref="A1:J101" displayName="Tabela_1" name="Tabela_1" id="1">
  <autoFilter ref="$A$1:$J$101"/>
  <tableColumns count="10">
    <tableColumn name="cliente_codigo" id="1"/>
    <tableColumn name="nome" id="2"/>
    <tableColumn name="segmento" id="3"/>
    <tableColumn name="porte" id="4"/>
    <tableColumn name="cidade" id="5"/>
    <tableColumn name="uf" id="6"/>
    <tableColumn name="vendedor_codigo" id="7"/>
    <tableColumn name="canal" id="8"/>
    <tableColumn name="ticket_medio_mensal" id="9"/>
    <tableColumn name="margem_bandeira" id="10"/>
  </tableColumns>
  <tableStyleInfo name="Clientes-style" showColumnStripes="0" showFirstColumn="1" showLastColumn="1" showRowStripes="1"/>
</table>
</file>

<file path=xl/tables/table2.xml><?xml version="1.0" encoding="utf-8"?>
<table xmlns="http://schemas.openxmlformats.org/spreadsheetml/2006/main" ref="A1:I1383" displayName="Tabela_2" name="Tabela_2" id="2">
  <tableColumns count="9">
    <tableColumn name="item_id" id="1"/>
    <tableColumn name="pedido_id" id="2"/>
    <tableColumn name="sku" id="3"/>
    <tableColumn name="qtd" id="4"/>
    <tableColumn name="preco_unitario" id="5"/>
    <tableColumn name="custo_unitario" id="6"/>
    <tableColumn name="valor_linha" id="7"/>
    <tableColumn name="custo_linha" id="8"/>
    <tableColumn name="margem_linha" id="9"/>
  </tableColumns>
  <tableStyleInfo name="Itens_pedido-style" showColumnStripes="0" showFirstColumn="1" showLastColumn="1" showRowStripes="1"/>
</table>
</file>

<file path=xl/tables/table3.xml><?xml version="1.0" encoding="utf-8"?>
<table xmlns="http://schemas.openxmlformats.org/spreadsheetml/2006/main" ref="A1:H10" displayName="Tabela_4" name="Tabela_4" id="3">
  <tableColumns count="8">
    <tableColumn name="sku" id="1"/>
    <tableColumn name="nome" id="2"/>
    <tableColumn name="categoria" id="3"/>
    <tableColumn name="variante" id="4"/>
    <tableColumn name="preco_unitario" id="5"/>
    <tableColumn name="custo_unitario" id="6"/>
    <tableColumn name="margem_unitaria" id="7"/>
    <tableColumn name="margem_pct" id="8"/>
  </tableColumns>
  <tableStyleInfo name="Produtos-style" showColumnStripes="0" showFirstColumn="1" showLastColumn="1" showRowStripes="1"/>
</table>
</file>

<file path=xl/tables/table4.xml><?xml version="1.0" encoding="utf-8"?>
<table xmlns="http://schemas.openxmlformats.org/spreadsheetml/2006/main" ref="A1:G9" displayName="Tabela_5" name="Tabela_5" id="4">
  <tableColumns count="7">
    <tableColumn name="vendedor_codigo" id="1"/>
    <tableColumn name="nome_completo" id="2"/>
    <tableColumn name="apelido" id="3"/>
    <tableColumn name="tipo" id="4"/>
    <tableColumn name="regiao_atendimento" id="5"/>
    <tableColumn name="ano_admissao" id="6"/>
    <tableColumn name="num_clientes_carteira" id="7"/>
  </tableColumns>
  <tableStyleInfo name="Vendedores-style" showColumnStripes="0" showFirstColumn="1" showLastColumn="1" showRowStripes="1"/>
</table>
</file>

<file path=xl/tables/table5.xml><?xml version="1.0" encoding="utf-8"?>
<table xmlns="http://schemas.openxmlformats.org/spreadsheetml/2006/main" ref="A1:P697" displayName="Tabela_3" name="Tabela_3" id="5">
  <tableColumns count="16">
    <tableColumn name="pedido_id" id="1"/>
    <tableColumn name="data_pedido" id="2"/>
    <tableColumn name="Mês" id="3"/>
    <tableColumn name="data_entrega_prometida" id="4"/>
    <tableColumn name="data_entrega_real" id="5"/>
    <tableColumn name="cliente_codigo" id="6"/>
    <tableColumn name="nome_cliente" id="7"/>
    <tableColumn name="segmento" id="8"/>
    <tableColumn name="vendedor_codigo" id="9"/>
    <tableColumn name="qtd_linhas" id="10"/>
    <tableColumn name="valor_total" id="11"/>
    <tableColumn name="custo_produto_total" id="12"/>
    <tableColumn name="margem_bruta" id="13"/>
    <tableColumn name="frete_real" id="14"/>
    <tableColumn name="margem_liquida" id="15"/>
    <tableColumn name="status" id="16"/>
  </tableColumns>
  <tableStyleInfo name="Pedi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0.25"/>
    <col customWidth="1" min="3" max="3" width="16.13"/>
    <col customWidth="1" min="5" max="5" width="18.13"/>
    <col customWidth="1" min="7" max="7" width="21.38"/>
    <col customWidth="1" min="8" max="8" width="14.63"/>
    <col customWidth="1" min="9" max="9" width="24.38"/>
    <col customWidth="1" min="10" max="10" width="22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3" t="s">
        <v>12</v>
      </c>
      <c r="D2" s="3" t="s">
        <v>13</v>
      </c>
      <c r="E2" s="2" t="s">
        <v>14</v>
      </c>
      <c r="F2" s="3" t="s">
        <v>15</v>
      </c>
      <c r="G2" s="3" t="s">
        <v>16</v>
      </c>
      <c r="H2" s="3" t="s">
        <v>17</v>
      </c>
      <c r="I2" s="4">
        <v>1150000.0</v>
      </c>
      <c r="J2" s="3" t="s">
        <v>18</v>
      </c>
    </row>
    <row r="3" ht="22.5" customHeight="1">
      <c r="A3" s="2" t="s">
        <v>19</v>
      </c>
      <c r="B3" s="2" t="s">
        <v>20</v>
      </c>
      <c r="C3" s="3" t="s">
        <v>12</v>
      </c>
      <c r="D3" s="3" t="s">
        <v>13</v>
      </c>
      <c r="E3" s="2" t="s">
        <v>21</v>
      </c>
      <c r="F3" s="3" t="s">
        <v>15</v>
      </c>
      <c r="G3" s="3" t="s">
        <v>22</v>
      </c>
      <c r="H3" s="3" t="s">
        <v>17</v>
      </c>
      <c r="I3" s="4">
        <v>850000.0</v>
      </c>
      <c r="J3" s="3" t="s">
        <v>18</v>
      </c>
    </row>
    <row r="4" ht="22.5" customHeight="1">
      <c r="A4" s="2" t="s">
        <v>23</v>
      </c>
      <c r="B4" s="2" t="s">
        <v>24</v>
      </c>
      <c r="C4" s="3" t="s">
        <v>25</v>
      </c>
      <c r="D4" s="3" t="s">
        <v>13</v>
      </c>
      <c r="E4" s="2" t="s">
        <v>21</v>
      </c>
      <c r="F4" s="3" t="s">
        <v>15</v>
      </c>
      <c r="G4" s="3" t="s">
        <v>22</v>
      </c>
      <c r="H4" s="3" t="s">
        <v>26</v>
      </c>
      <c r="I4" s="4">
        <v>680000.0</v>
      </c>
      <c r="J4" s="3" t="s">
        <v>27</v>
      </c>
    </row>
    <row r="5" ht="22.5" customHeight="1">
      <c r="A5" s="2" t="s">
        <v>28</v>
      </c>
      <c r="B5" s="2" t="s">
        <v>29</v>
      </c>
      <c r="C5" s="3" t="s">
        <v>12</v>
      </c>
      <c r="D5" s="3" t="s">
        <v>13</v>
      </c>
      <c r="E5" s="2" t="s">
        <v>30</v>
      </c>
      <c r="F5" s="3" t="s">
        <v>15</v>
      </c>
      <c r="G5" s="3" t="s">
        <v>16</v>
      </c>
      <c r="H5" s="3" t="s">
        <v>17</v>
      </c>
      <c r="I5" s="4">
        <v>560000.0</v>
      </c>
      <c r="J5" s="3" t="s">
        <v>18</v>
      </c>
    </row>
    <row r="6" ht="22.5" customHeight="1">
      <c r="A6" s="2" t="s">
        <v>31</v>
      </c>
      <c r="B6" s="2" t="s">
        <v>32</v>
      </c>
      <c r="C6" s="3" t="s">
        <v>33</v>
      </c>
      <c r="D6" s="3" t="s">
        <v>13</v>
      </c>
      <c r="E6" s="2" t="s">
        <v>34</v>
      </c>
      <c r="F6" s="3" t="s">
        <v>15</v>
      </c>
      <c r="G6" s="3" t="s">
        <v>16</v>
      </c>
      <c r="H6" s="3" t="s">
        <v>26</v>
      </c>
      <c r="I6" s="4">
        <v>420000.0</v>
      </c>
      <c r="J6" s="3" t="s">
        <v>18</v>
      </c>
    </row>
    <row r="7" ht="22.5" customHeight="1">
      <c r="A7" s="2" t="s">
        <v>35</v>
      </c>
      <c r="B7" s="2" t="s">
        <v>36</v>
      </c>
      <c r="C7" s="3" t="s">
        <v>12</v>
      </c>
      <c r="D7" s="3" t="s">
        <v>37</v>
      </c>
      <c r="E7" s="2" t="s">
        <v>38</v>
      </c>
      <c r="F7" s="3" t="s">
        <v>15</v>
      </c>
      <c r="G7" s="3" t="s">
        <v>39</v>
      </c>
      <c r="H7" s="3" t="s">
        <v>17</v>
      </c>
      <c r="I7" s="4">
        <v>330000.0</v>
      </c>
      <c r="J7" s="3" t="s">
        <v>18</v>
      </c>
    </row>
    <row r="8" ht="22.5" customHeight="1">
      <c r="A8" s="2" t="s">
        <v>40</v>
      </c>
      <c r="B8" s="2" t="s">
        <v>41</v>
      </c>
      <c r="C8" s="3" t="s">
        <v>42</v>
      </c>
      <c r="D8" s="3" t="s">
        <v>13</v>
      </c>
      <c r="E8" s="2" t="s">
        <v>34</v>
      </c>
      <c r="F8" s="3" t="s">
        <v>15</v>
      </c>
      <c r="G8" s="3" t="s">
        <v>43</v>
      </c>
      <c r="H8" s="3" t="s">
        <v>44</v>
      </c>
      <c r="I8" s="4">
        <v>280000.0</v>
      </c>
      <c r="J8" s="3" t="s">
        <v>18</v>
      </c>
    </row>
    <row r="9" ht="22.5" customHeight="1">
      <c r="A9" s="2" t="s">
        <v>45</v>
      </c>
      <c r="B9" s="2" t="s">
        <v>46</v>
      </c>
      <c r="C9" s="3" t="s">
        <v>25</v>
      </c>
      <c r="D9" s="3" t="s">
        <v>37</v>
      </c>
      <c r="E9" s="2" t="s">
        <v>47</v>
      </c>
      <c r="F9" s="3" t="s">
        <v>48</v>
      </c>
      <c r="G9" s="3" t="s">
        <v>49</v>
      </c>
      <c r="H9" s="3" t="s">
        <v>26</v>
      </c>
      <c r="I9" s="4">
        <v>245000.0</v>
      </c>
      <c r="J9" s="3" t="s">
        <v>50</v>
      </c>
    </row>
    <row r="10" ht="22.5" customHeight="1">
      <c r="A10" s="2" t="s">
        <v>51</v>
      </c>
      <c r="B10" s="2" t="s">
        <v>52</v>
      </c>
      <c r="C10" s="3" t="s">
        <v>53</v>
      </c>
      <c r="D10" s="3" t="s">
        <v>37</v>
      </c>
      <c r="E10" s="2" t="s">
        <v>54</v>
      </c>
      <c r="F10" s="3" t="s">
        <v>55</v>
      </c>
      <c r="G10" s="3" t="s">
        <v>56</v>
      </c>
      <c r="H10" s="3" t="s">
        <v>26</v>
      </c>
      <c r="I10" s="4">
        <v>200000.0</v>
      </c>
      <c r="J10" s="3" t="s">
        <v>18</v>
      </c>
    </row>
    <row r="11" ht="22.5" customHeight="1">
      <c r="A11" s="2" t="s">
        <v>57</v>
      </c>
      <c r="B11" s="2" t="s">
        <v>58</v>
      </c>
      <c r="C11" s="3" t="s">
        <v>33</v>
      </c>
      <c r="D11" s="3" t="s">
        <v>37</v>
      </c>
      <c r="E11" s="2" t="s">
        <v>38</v>
      </c>
      <c r="F11" s="3" t="s">
        <v>15</v>
      </c>
      <c r="G11" s="3" t="s">
        <v>39</v>
      </c>
      <c r="H11" s="3" t="s">
        <v>26</v>
      </c>
      <c r="I11" s="4">
        <v>160000.0</v>
      </c>
      <c r="J11" s="3" t="s">
        <v>18</v>
      </c>
    </row>
    <row r="12" ht="22.5" customHeight="1">
      <c r="A12" s="2" t="s">
        <v>59</v>
      </c>
      <c r="B12" s="2" t="s">
        <v>60</v>
      </c>
      <c r="C12" s="3" t="s">
        <v>42</v>
      </c>
      <c r="D12" s="3" t="s">
        <v>37</v>
      </c>
      <c r="E12" s="2" t="s">
        <v>47</v>
      </c>
      <c r="F12" s="3" t="s">
        <v>48</v>
      </c>
      <c r="G12" s="3" t="s">
        <v>49</v>
      </c>
      <c r="H12" s="3" t="s">
        <v>26</v>
      </c>
      <c r="I12" s="4">
        <v>135000.0</v>
      </c>
      <c r="J12" s="3" t="s">
        <v>27</v>
      </c>
    </row>
    <row r="13" ht="22.5" customHeight="1">
      <c r="A13" s="2" t="s">
        <v>61</v>
      </c>
      <c r="B13" s="2" t="s">
        <v>62</v>
      </c>
      <c r="C13" s="3" t="s">
        <v>33</v>
      </c>
      <c r="D13" s="3" t="s">
        <v>37</v>
      </c>
      <c r="E13" s="2" t="s">
        <v>63</v>
      </c>
      <c r="F13" s="3" t="s">
        <v>15</v>
      </c>
      <c r="G13" s="3" t="s">
        <v>39</v>
      </c>
      <c r="H13" s="3" t="s">
        <v>26</v>
      </c>
      <c r="I13" s="4">
        <v>115000.0</v>
      </c>
      <c r="J13" s="3" t="s">
        <v>27</v>
      </c>
    </row>
    <row r="14" ht="22.5" customHeight="1">
      <c r="A14" s="2" t="s">
        <v>64</v>
      </c>
      <c r="B14" s="2" t="s">
        <v>65</v>
      </c>
      <c r="C14" s="3" t="s">
        <v>25</v>
      </c>
      <c r="D14" s="3" t="s">
        <v>37</v>
      </c>
      <c r="E14" s="2" t="s">
        <v>54</v>
      </c>
      <c r="F14" s="3" t="s">
        <v>55</v>
      </c>
      <c r="G14" s="3" t="s">
        <v>56</v>
      </c>
      <c r="H14" s="3" t="s">
        <v>26</v>
      </c>
      <c r="I14" s="4">
        <v>98000.0</v>
      </c>
      <c r="J14" s="3" t="s">
        <v>27</v>
      </c>
    </row>
    <row r="15" ht="22.5" customHeight="1">
      <c r="A15" s="2" t="s">
        <v>66</v>
      </c>
      <c r="B15" s="2" t="s">
        <v>67</v>
      </c>
      <c r="C15" s="3" t="s">
        <v>68</v>
      </c>
      <c r="D15" s="3" t="s">
        <v>37</v>
      </c>
      <c r="E15" s="2" t="s">
        <v>21</v>
      </c>
      <c r="F15" s="3" t="s">
        <v>15</v>
      </c>
      <c r="G15" s="3" t="s">
        <v>22</v>
      </c>
      <c r="H15" s="3" t="s">
        <v>26</v>
      </c>
      <c r="I15" s="4">
        <v>85000.0</v>
      </c>
      <c r="J15" s="3" t="s">
        <v>18</v>
      </c>
    </row>
    <row r="16" ht="22.5" customHeight="1">
      <c r="A16" s="2" t="s">
        <v>69</v>
      </c>
      <c r="B16" s="2" t="s">
        <v>70</v>
      </c>
      <c r="C16" s="3" t="s">
        <v>25</v>
      </c>
      <c r="D16" s="3" t="s">
        <v>37</v>
      </c>
      <c r="E16" s="2" t="s">
        <v>38</v>
      </c>
      <c r="F16" s="3" t="s">
        <v>15</v>
      </c>
      <c r="G16" s="3" t="s">
        <v>39</v>
      </c>
      <c r="H16" s="3" t="s">
        <v>26</v>
      </c>
      <c r="I16" s="4">
        <v>72000.0</v>
      </c>
      <c r="J16" s="3" t="s">
        <v>18</v>
      </c>
    </row>
    <row r="17" ht="22.5" customHeight="1">
      <c r="A17" s="2" t="s">
        <v>71</v>
      </c>
      <c r="B17" s="2" t="s">
        <v>72</v>
      </c>
      <c r="C17" s="3" t="s">
        <v>68</v>
      </c>
      <c r="D17" s="3" t="s">
        <v>73</v>
      </c>
      <c r="E17" s="2" t="s">
        <v>38</v>
      </c>
      <c r="F17" s="3" t="s">
        <v>15</v>
      </c>
      <c r="G17" s="3" t="s">
        <v>39</v>
      </c>
      <c r="H17" s="3" t="s">
        <v>26</v>
      </c>
      <c r="I17" s="4">
        <v>55000.0</v>
      </c>
      <c r="J17" s="3" t="s">
        <v>18</v>
      </c>
    </row>
    <row r="18" ht="22.5" customHeight="1">
      <c r="A18" s="2" t="s">
        <v>74</v>
      </c>
      <c r="B18" s="2" t="s">
        <v>75</v>
      </c>
      <c r="C18" s="3" t="s">
        <v>76</v>
      </c>
      <c r="D18" s="3" t="s">
        <v>73</v>
      </c>
      <c r="E18" s="2" t="s">
        <v>77</v>
      </c>
      <c r="F18" s="3" t="s">
        <v>15</v>
      </c>
      <c r="G18" s="3" t="s">
        <v>56</v>
      </c>
      <c r="H18" s="3" t="s">
        <v>26</v>
      </c>
      <c r="I18" s="4">
        <v>48000.0</v>
      </c>
      <c r="J18" s="3" t="s">
        <v>18</v>
      </c>
    </row>
    <row r="19" ht="22.5" customHeight="1">
      <c r="A19" s="2" t="s">
        <v>78</v>
      </c>
      <c r="B19" s="2" t="s">
        <v>79</v>
      </c>
      <c r="C19" s="3" t="s">
        <v>12</v>
      </c>
      <c r="D19" s="3" t="s">
        <v>73</v>
      </c>
      <c r="E19" s="2" t="s">
        <v>80</v>
      </c>
      <c r="F19" s="3" t="s">
        <v>15</v>
      </c>
      <c r="G19" s="3" t="s">
        <v>39</v>
      </c>
      <c r="H19" s="3" t="s">
        <v>26</v>
      </c>
      <c r="I19" s="4">
        <v>42000.0</v>
      </c>
      <c r="J19" s="3" t="s">
        <v>18</v>
      </c>
    </row>
    <row r="20" ht="22.5" customHeight="1">
      <c r="A20" s="2" t="s">
        <v>81</v>
      </c>
      <c r="B20" s="2" t="s">
        <v>82</v>
      </c>
      <c r="C20" s="3" t="s">
        <v>83</v>
      </c>
      <c r="D20" s="3" t="s">
        <v>84</v>
      </c>
      <c r="E20" s="2" t="s">
        <v>38</v>
      </c>
      <c r="F20" s="3" t="s">
        <v>15</v>
      </c>
      <c r="G20" s="3" t="s">
        <v>85</v>
      </c>
      <c r="H20" s="3" t="s">
        <v>44</v>
      </c>
      <c r="I20" s="4">
        <v>5400.0</v>
      </c>
      <c r="J20" s="3" t="s">
        <v>18</v>
      </c>
    </row>
    <row r="21" ht="22.5" customHeight="1">
      <c r="A21" s="2" t="s">
        <v>86</v>
      </c>
      <c r="B21" s="2" t="s">
        <v>87</v>
      </c>
      <c r="C21" s="3" t="s">
        <v>83</v>
      </c>
      <c r="D21" s="3" t="s">
        <v>84</v>
      </c>
      <c r="E21" s="2" t="s">
        <v>80</v>
      </c>
      <c r="F21" s="3" t="s">
        <v>15</v>
      </c>
      <c r="G21" s="3" t="s">
        <v>39</v>
      </c>
      <c r="H21" s="3" t="s">
        <v>26</v>
      </c>
      <c r="I21" s="4">
        <v>6800.0</v>
      </c>
      <c r="J21" s="3" t="s">
        <v>50</v>
      </c>
    </row>
    <row r="22" ht="22.5" customHeight="1">
      <c r="A22" s="2" t="s">
        <v>88</v>
      </c>
      <c r="B22" s="2" t="s">
        <v>89</v>
      </c>
      <c r="C22" s="3" t="s">
        <v>33</v>
      </c>
      <c r="D22" s="3" t="s">
        <v>73</v>
      </c>
      <c r="E22" s="2" t="s">
        <v>90</v>
      </c>
      <c r="F22" s="3" t="s">
        <v>15</v>
      </c>
      <c r="G22" s="3" t="s">
        <v>91</v>
      </c>
      <c r="H22" s="3" t="s">
        <v>26</v>
      </c>
      <c r="I22" s="4">
        <v>25221.0</v>
      </c>
      <c r="J22" s="3" t="s">
        <v>27</v>
      </c>
    </row>
    <row r="23" ht="22.5" customHeight="1">
      <c r="A23" s="2" t="s">
        <v>92</v>
      </c>
      <c r="B23" s="2" t="s">
        <v>93</v>
      </c>
      <c r="C23" s="3" t="s">
        <v>25</v>
      </c>
      <c r="D23" s="3" t="s">
        <v>73</v>
      </c>
      <c r="E23" s="2" t="s">
        <v>94</v>
      </c>
      <c r="F23" s="3" t="s">
        <v>55</v>
      </c>
      <c r="G23" s="3" t="s">
        <v>39</v>
      </c>
      <c r="H23" s="3" t="s">
        <v>26</v>
      </c>
      <c r="I23" s="4">
        <v>35310.0</v>
      </c>
      <c r="J23" s="3" t="s">
        <v>50</v>
      </c>
    </row>
    <row r="24" ht="22.5" customHeight="1">
      <c r="A24" s="2" t="s">
        <v>95</v>
      </c>
      <c r="B24" s="2" t="s">
        <v>96</v>
      </c>
      <c r="C24" s="3" t="s">
        <v>68</v>
      </c>
      <c r="D24" s="3" t="s">
        <v>73</v>
      </c>
      <c r="E24" s="2" t="s">
        <v>97</v>
      </c>
      <c r="F24" s="3" t="s">
        <v>48</v>
      </c>
      <c r="G24" s="3" t="s">
        <v>56</v>
      </c>
      <c r="H24" s="3" t="s">
        <v>26</v>
      </c>
      <c r="I24" s="4">
        <v>28008.0</v>
      </c>
      <c r="J24" s="3" t="s">
        <v>50</v>
      </c>
    </row>
    <row r="25" ht="22.5" customHeight="1">
      <c r="A25" s="2" t="s">
        <v>98</v>
      </c>
      <c r="B25" s="2" t="s">
        <v>99</v>
      </c>
      <c r="C25" s="3" t="s">
        <v>33</v>
      </c>
      <c r="D25" s="3" t="s">
        <v>37</v>
      </c>
      <c r="E25" s="2" t="s">
        <v>100</v>
      </c>
      <c r="F25" s="3" t="s">
        <v>15</v>
      </c>
      <c r="G25" s="3" t="s">
        <v>43</v>
      </c>
      <c r="H25" s="3" t="s">
        <v>26</v>
      </c>
      <c r="I25" s="4">
        <v>52550.0</v>
      </c>
      <c r="J25" s="3" t="s">
        <v>27</v>
      </c>
    </row>
    <row r="26" ht="22.5" customHeight="1">
      <c r="A26" s="2" t="s">
        <v>101</v>
      </c>
      <c r="B26" s="2" t="s">
        <v>102</v>
      </c>
      <c r="C26" s="3" t="s">
        <v>25</v>
      </c>
      <c r="D26" s="3" t="s">
        <v>84</v>
      </c>
      <c r="E26" s="2" t="s">
        <v>63</v>
      </c>
      <c r="F26" s="3" t="s">
        <v>15</v>
      </c>
      <c r="G26" s="3" t="s">
        <v>91</v>
      </c>
      <c r="H26" s="3" t="s">
        <v>44</v>
      </c>
      <c r="I26" s="4">
        <v>13226.0</v>
      </c>
      <c r="J26" s="3" t="s">
        <v>50</v>
      </c>
    </row>
    <row r="27" ht="22.5" customHeight="1">
      <c r="A27" s="2" t="s">
        <v>103</v>
      </c>
      <c r="B27" s="2" t="s">
        <v>104</v>
      </c>
      <c r="C27" s="3" t="s">
        <v>12</v>
      </c>
      <c r="D27" s="3" t="s">
        <v>73</v>
      </c>
      <c r="E27" s="2" t="s">
        <v>105</v>
      </c>
      <c r="F27" s="3" t="s">
        <v>15</v>
      </c>
      <c r="G27" s="3" t="s">
        <v>91</v>
      </c>
      <c r="H27" s="3" t="s">
        <v>26</v>
      </c>
      <c r="I27" s="4">
        <v>24721.0</v>
      </c>
      <c r="J27" s="3" t="s">
        <v>27</v>
      </c>
    </row>
    <row r="28" ht="22.5" customHeight="1">
      <c r="A28" s="2" t="s">
        <v>106</v>
      </c>
      <c r="B28" s="2" t="s">
        <v>107</v>
      </c>
      <c r="C28" s="3" t="s">
        <v>33</v>
      </c>
      <c r="D28" s="3" t="s">
        <v>73</v>
      </c>
      <c r="E28" s="2" t="s">
        <v>105</v>
      </c>
      <c r="F28" s="3" t="s">
        <v>15</v>
      </c>
      <c r="G28" s="3" t="s">
        <v>22</v>
      </c>
      <c r="H28" s="3" t="s">
        <v>44</v>
      </c>
      <c r="I28" s="4">
        <v>24018.0</v>
      </c>
      <c r="J28" s="3" t="s">
        <v>50</v>
      </c>
    </row>
    <row r="29" ht="22.5" customHeight="1">
      <c r="A29" s="2" t="s">
        <v>108</v>
      </c>
      <c r="B29" s="2" t="s">
        <v>109</v>
      </c>
      <c r="C29" s="3" t="s">
        <v>42</v>
      </c>
      <c r="D29" s="3" t="s">
        <v>73</v>
      </c>
      <c r="E29" s="2" t="s">
        <v>110</v>
      </c>
      <c r="F29" s="3" t="s">
        <v>15</v>
      </c>
      <c r="G29" s="3" t="s">
        <v>91</v>
      </c>
      <c r="H29" s="3" t="s">
        <v>26</v>
      </c>
      <c r="I29" s="4">
        <v>43205.0</v>
      </c>
      <c r="J29" s="3" t="s">
        <v>27</v>
      </c>
    </row>
    <row r="30" ht="22.5" customHeight="1">
      <c r="A30" s="2" t="s">
        <v>111</v>
      </c>
      <c r="B30" s="2" t="s">
        <v>112</v>
      </c>
      <c r="C30" s="3" t="s">
        <v>42</v>
      </c>
      <c r="D30" s="3" t="s">
        <v>37</v>
      </c>
      <c r="E30" s="2" t="s">
        <v>100</v>
      </c>
      <c r="F30" s="3" t="s">
        <v>15</v>
      </c>
      <c r="G30" s="3" t="s">
        <v>43</v>
      </c>
      <c r="H30" s="3" t="s">
        <v>26</v>
      </c>
      <c r="I30" s="4">
        <v>51911.0</v>
      </c>
      <c r="J30" s="3" t="s">
        <v>27</v>
      </c>
    </row>
    <row r="31" ht="22.5" customHeight="1">
      <c r="A31" s="2" t="s">
        <v>113</v>
      </c>
      <c r="B31" s="2" t="s">
        <v>114</v>
      </c>
      <c r="C31" s="3" t="s">
        <v>12</v>
      </c>
      <c r="D31" s="3" t="s">
        <v>73</v>
      </c>
      <c r="E31" s="2" t="s">
        <v>100</v>
      </c>
      <c r="F31" s="3" t="s">
        <v>15</v>
      </c>
      <c r="G31" s="3" t="s">
        <v>39</v>
      </c>
      <c r="H31" s="3" t="s">
        <v>26</v>
      </c>
      <c r="I31" s="4">
        <v>33244.0</v>
      </c>
      <c r="J31" s="3" t="s">
        <v>27</v>
      </c>
    </row>
    <row r="32" ht="22.5" customHeight="1">
      <c r="A32" s="2" t="s">
        <v>115</v>
      </c>
      <c r="B32" s="2" t="s">
        <v>116</v>
      </c>
      <c r="C32" s="3" t="s">
        <v>33</v>
      </c>
      <c r="D32" s="3" t="s">
        <v>73</v>
      </c>
      <c r="E32" s="2" t="s">
        <v>117</v>
      </c>
      <c r="F32" s="3" t="s">
        <v>118</v>
      </c>
      <c r="G32" s="3" t="s">
        <v>22</v>
      </c>
      <c r="H32" s="3" t="s">
        <v>26</v>
      </c>
      <c r="I32" s="4">
        <v>29115.0</v>
      </c>
      <c r="J32" s="3" t="s">
        <v>50</v>
      </c>
    </row>
    <row r="33" ht="22.5" customHeight="1">
      <c r="A33" s="2" t="s">
        <v>119</v>
      </c>
      <c r="B33" s="2" t="s">
        <v>120</v>
      </c>
      <c r="C33" s="3" t="s">
        <v>12</v>
      </c>
      <c r="D33" s="3" t="s">
        <v>84</v>
      </c>
      <c r="E33" s="2" t="s">
        <v>34</v>
      </c>
      <c r="F33" s="3" t="s">
        <v>15</v>
      </c>
      <c r="G33" s="3" t="s">
        <v>56</v>
      </c>
      <c r="H33" s="3" t="s">
        <v>26</v>
      </c>
      <c r="I33" s="4">
        <v>19088.0</v>
      </c>
      <c r="J33" s="3" t="s">
        <v>18</v>
      </c>
    </row>
    <row r="34" ht="22.5" customHeight="1">
      <c r="A34" s="2" t="s">
        <v>121</v>
      </c>
      <c r="B34" s="2" t="s">
        <v>122</v>
      </c>
      <c r="C34" s="3" t="s">
        <v>33</v>
      </c>
      <c r="D34" s="3" t="s">
        <v>84</v>
      </c>
      <c r="E34" s="2" t="s">
        <v>123</v>
      </c>
      <c r="F34" s="3" t="s">
        <v>55</v>
      </c>
      <c r="G34" s="3" t="s">
        <v>91</v>
      </c>
      <c r="H34" s="3" t="s">
        <v>26</v>
      </c>
      <c r="I34" s="4">
        <v>10381.0</v>
      </c>
      <c r="J34" s="3" t="s">
        <v>50</v>
      </c>
    </row>
    <row r="35" ht="22.5" customHeight="1">
      <c r="A35" s="2" t="s">
        <v>124</v>
      </c>
      <c r="B35" s="2" t="s">
        <v>125</v>
      </c>
      <c r="C35" s="3" t="s">
        <v>68</v>
      </c>
      <c r="D35" s="3" t="s">
        <v>73</v>
      </c>
      <c r="E35" s="2" t="s">
        <v>110</v>
      </c>
      <c r="F35" s="3" t="s">
        <v>15</v>
      </c>
      <c r="G35" s="3" t="s">
        <v>49</v>
      </c>
      <c r="H35" s="3" t="s">
        <v>44</v>
      </c>
      <c r="I35" s="4">
        <v>29905.0</v>
      </c>
      <c r="J35" s="3" t="s">
        <v>27</v>
      </c>
    </row>
    <row r="36" ht="22.5" customHeight="1">
      <c r="A36" s="2" t="s">
        <v>126</v>
      </c>
      <c r="B36" s="2" t="s">
        <v>127</v>
      </c>
      <c r="C36" s="3" t="s">
        <v>42</v>
      </c>
      <c r="D36" s="3" t="s">
        <v>37</v>
      </c>
      <c r="E36" s="2" t="s">
        <v>47</v>
      </c>
      <c r="F36" s="3" t="s">
        <v>48</v>
      </c>
      <c r="G36" s="3" t="s">
        <v>43</v>
      </c>
      <c r="H36" s="3" t="s">
        <v>26</v>
      </c>
      <c r="I36" s="4">
        <v>79155.0</v>
      </c>
      <c r="J36" s="3" t="s">
        <v>27</v>
      </c>
    </row>
    <row r="37" ht="22.5" customHeight="1">
      <c r="A37" s="2" t="s">
        <v>128</v>
      </c>
      <c r="B37" s="2" t="s">
        <v>129</v>
      </c>
      <c r="C37" s="3" t="s">
        <v>76</v>
      </c>
      <c r="D37" s="3" t="s">
        <v>84</v>
      </c>
      <c r="E37" s="2" t="s">
        <v>47</v>
      </c>
      <c r="F37" s="3" t="s">
        <v>48</v>
      </c>
      <c r="G37" s="3" t="s">
        <v>56</v>
      </c>
      <c r="H37" s="3" t="s">
        <v>44</v>
      </c>
      <c r="I37" s="4">
        <v>17223.0</v>
      </c>
      <c r="J37" s="3" t="s">
        <v>18</v>
      </c>
    </row>
    <row r="38" ht="22.5" customHeight="1">
      <c r="A38" s="2" t="s">
        <v>130</v>
      </c>
      <c r="B38" s="2" t="s">
        <v>131</v>
      </c>
      <c r="C38" s="3" t="s">
        <v>76</v>
      </c>
      <c r="D38" s="3" t="s">
        <v>73</v>
      </c>
      <c r="E38" s="2" t="s">
        <v>100</v>
      </c>
      <c r="F38" s="3" t="s">
        <v>15</v>
      </c>
      <c r="G38" s="3" t="s">
        <v>39</v>
      </c>
      <c r="H38" s="3" t="s">
        <v>26</v>
      </c>
      <c r="I38" s="4">
        <v>38850.0</v>
      </c>
      <c r="J38" s="3" t="s">
        <v>18</v>
      </c>
    </row>
    <row r="39" ht="22.5" customHeight="1">
      <c r="A39" s="2" t="s">
        <v>132</v>
      </c>
      <c r="B39" s="2" t="s">
        <v>133</v>
      </c>
      <c r="C39" s="3" t="s">
        <v>12</v>
      </c>
      <c r="D39" s="3" t="s">
        <v>84</v>
      </c>
      <c r="E39" s="2" t="s">
        <v>21</v>
      </c>
      <c r="F39" s="3" t="s">
        <v>15</v>
      </c>
      <c r="G39" s="3" t="s">
        <v>39</v>
      </c>
      <c r="H39" s="3" t="s">
        <v>26</v>
      </c>
      <c r="I39" s="4">
        <v>18984.0</v>
      </c>
      <c r="J39" s="3" t="s">
        <v>27</v>
      </c>
    </row>
    <row r="40" ht="22.5" customHeight="1">
      <c r="A40" s="2" t="s">
        <v>134</v>
      </c>
      <c r="B40" s="2" t="s">
        <v>135</v>
      </c>
      <c r="C40" s="3" t="s">
        <v>12</v>
      </c>
      <c r="D40" s="3" t="s">
        <v>84</v>
      </c>
      <c r="E40" s="2" t="s">
        <v>47</v>
      </c>
      <c r="F40" s="3" t="s">
        <v>48</v>
      </c>
      <c r="G40" s="3" t="s">
        <v>91</v>
      </c>
      <c r="H40" s="3" t="s">
        <v>26</v>
      </c>
      <c r="I40" s="4">
        <v>17823.0</v>
      </c>
      <c r="J40" s="3" t="s">
        <v>27</v>
      </c>
    </row>
    <row r="41" ht="22.5" customHeight="1">
      <c r="A41" s="2" t="s">
        <v>136</v>
      </c>
      <c r="B41" s="2" t="s">
        <v>137</v>
      </c>
      <c r="C41" s="3" t="s">
        <v>68</v>
      </c>
      <c r="D41" s="3" t="s">
        <v>73</v>
      </c>
      <c r="E41" s="2" t="s">
        <v>38</v>
      </c>
      <c r="F41" s="3" t="s">
        <v>15</v>
      </c>
      <c r="G41" s="3" t="s">
        <v>49</v>
      </c>
      <c r="H41" s="3" t="s">
        <v>26</v>
      </c>
      <c r="I41" s="4">
        <v>33093.0</v>
      </c>
      <c r="J41" s="3" t="s">
        <v>18</v>
      </c>
    </row>
    <row r="42" ht="22.5" customHeight="1">
      <c r="A42" s="2" t="s">
        <v>138</v>
      </c>
      <c r="B42" s="2" t="s">
        <v>139</v>
      </c>
      <c r="C42" s="3" t="s">
        <v>68</v>
      </c>
      <c r="D42" s="3" t="s">
        <v>73</v>
      </c>
      <c r="E42" s="2" t="s">
        <v>63</v>
      </c>
      <c r="F42" s="3" t="s">
        <v>15</v>
      </c>
      <c r="G42" s="3" t="s">
        <v>39</v>
      </c>
      <c r="H42" s="3" t="s">
        <v>44</v>
      </c>
      <c r="I42" s="4">
        <v>22413.0</v>
      </c>
      <c r="J42" s="3" t="s">
        <v>18</v>
      </c>
    </row>
    <row r="43" ht="22.5" customHeight="1">
      <c r="A43" s="2" t="s">
        <v>140</v>
      </c>
      <c r="B43" s="2" t="s">
        <v>141</v>
      </c>
      <c r="C43" s="3" t="s">
        <v>25</v>
      </c>
      <c r="D43" s="3" t="s">
        <v>73</v>
      </c>
      <c r="E43" s="2" t="s">
        <v>142</v>
      </c>
      <c r="F43" s="3" t="s">
        <v>15</v>
      </c>
      <c r="G43" s="3" t="s">
        <v>56</v>
      </c>
      <c r="H43" s="3" t="s">
        <v>44</v>
      </c>
      <c r="I43" s="4">
        <v>29276.0</v>
      </c>
      <c r="J43" s="3" t="s">
        <v>18</v>
      </c>
    </row>
    <row r="44" ht="22.5" customHeight="1">
      <c r="A44" s="2" t="s">
        <v>143</v>
      </c>
      <c r="B44" s="2" t="s">
        <v>144</v>
      </c>
      <c r="C44" s="3" t="s">
        <v>68</v>
      </c>
      <c r="D44" s="3" t="s">
        <v>84</v>
      </c>
      <c r="E44" s="2" t="s">
        <v>47</v>
      </c>
      <c r="F44" s="3" t="s">
        <v>48</v>
      </c>
      <c r="G44" s="3" t="s">
        <v>91</v>
      </c>
      <c r="H44" s="3" t="s">
        <v>26</v>
      </c>
      <c r="I44" s="4">
        <v>13129.0</v>
      </c>
      <c r="J44" s="3" t="s">
        <v>27</v>
      </c>
    </row>
    <row r="45" ht="22.5" customHeight="1">
      <c r="A45" s="2" t="s">
        <v>145</v>
      </c>
      <c r="B45" s="2" t="s">
        <v>146</v>
      </c>
      <c r="C45" s="3" t="s">
        <v>68</v>
      </c>
      <c r="D45" s="3" t="s">
        <v>73</v>
      </c>
      <c r="E45" s="2" t="s">
        <v>63</v>
      </c>
      <c r="F45" s="3" t="s">
        <v>15</v>
      </c>
      <c r="G45" s="3" t="s">
        <v>91</v>
      </c>
      <c r="H45" s="3" t="s">
        <v>44</v>
      </c>
      <c r="I45" s="4">
        <v>21233.0</v>
      </c>
      <c r="J45" s="3" t="s">
        <v>27</v>
      </c>
    </row>
    <row r="46" ht="22.5" customHeight="1">
      <c r="A46" s="2" t="s">
        <v>147</v>
      </c>
      <c r="B46" s="2" t="s">
        <v>148</v>
      </c>
      <c r="C46" s="3" t="s">
        <v>25</v>
      </c>
      <c r="D46" s="3" t="s">
        <v>84</v>
      </c>
      <c r="E46" s="2" t="s">
        <v>38</v>
      </c>
      <c r="F46" s="3" t="s">
        <v>15</v>
      </c>
      <c r="G46" s="3" t="s">
        <v>91</v>
      </c>
      <c r="H46" s="3" t="s">
        <v>26</v>
      </c>
      <c r="I46" s="4">
        <v>6158.0</v>
      </c>
      <c r="J46" s="3" t="s">
        <v>27</v>
      </c>
    </row>
    <row r="47" ht="22.5" customHeight="1">
      <c r="A47" s="2" t="s">
        <v>149</v>
      </c>
      <c r="B47" s="2" t="s">
        <v>150</v>
      </c>
      <c r="C47" s="3" t="s">
        <v>76</v>
      </c>
      <c r="D47" s="3" t="s">
        <v>73</v>
      </c>
      <c r="E47" s="2" t="s">
        <v>100</v>
      </c>
      <c r="F47" s="3" t="s">
        <v>15</v>
      </c>
      <c r="G47" s="3" t="s">
        <v>91</v>
      </c>
      <c r="H47" s="3" t="s">
        <v>26</v>
      </c>
      <c r="I47" s="4">
        <v>35479.0</v>
      </c>
      <c r="J47" s="3" t="s">
        <v>27</v>
      </c>
    </row>
    <row r="48" ht="22.5" customHeight="1">
      <c r="A48" s="2" t="s">
        <v>151</v>
      </c>
      <c r="B48" s="2" t="s">
        <v>152</v>
      </c>
      <c r="C48" s="3" t="s">
        <v>68</v>
      </c>
      <c r="D48" s="3" t="s">
        <v>84</v>
      </c>
      <c r="E48" s="2" t="s">
        <v>63</v>
      </c>
      <c r="F48" s="3" t="s">
        <v>15</v>
      </c>
      <c r="G48" s="3" t="s">
        <v>39</v>
      </c>
      <c r="H48" s="3" t="s">
        <v>26</v>
      </c>
      <c r="I48" s="4">
        <v>10169.0</v>
      </c>
      <c r="J48" s="3" t="s">
        <v>50</v>
      </c>
    </row>
    <row r="49" ht="22.5" customHeight="1">
      <c r="A49" s="2" t="s">
        <v>153</v>
      </c>
      <c r="B49" s="2" t="s">
        <v>154</v>
      </c>
      <c r="C49" s="3" t="s">
        <v>68</v>
      </c>
      <c r="D49" s="3" t="s">
        <v>84</v>
      </c>
      <c r="E49" s="2" t="s">
        <v>80</v>
      </c>
      <c r="F49" s="3" t="s">
        <v>15</v>
      </c>
      <c r="G49" s="3" t="s">
        <v>91</v>
      </c>
      <c r="H49" s="3" t="s">
        <v>26</v>
      </c>
      <c r="I49" s="4">
        <v>14370.0</v>
      </c>
      <c r="J49" s="3" t="s">
        <v>27</v>
      </c>
    </row>
    <row r="50" ht="22.5" customHeight="1">
      <c r="A50" s="2" t="s">
        <v>155</v>
      </c>
      <c r="B50" s="2" t="s">
        <v>156</v>
      </c>
      <c r="C50" s="3" t="s">
        <v>12</v>
      </c>
      <c r="D50" s="3" t="s">
        <v>73</v>
      </c>
      <c r="E50" s="2" t="s">
        <v>38</v>
      </c>
      <c r="F50" s="3" t="s">
        <v>15</v>
      </c>
      <c r="G50" s="3" t="s">
        <v>39</v>
      </c>
      <c r="H50" s="3" t="s">
        <v>26</v>
      </c>
      <c r="I50" s="4">
        <v>42469.0</v>
      </c>
      <c r="J50" s="3" t="s">
        <v>27</v>
      </c>
    </row>
    <row r="51" ht="22.5" customHeight="1">
      <c r="A51" s="2" t="s">
        <v>157</v>
      </c>
      <c r="B51" s="2" t="s">
        <v>158</v>
      </c>
      <c r="C51" s="3" t="s">
        <v>33</v>
      </c>
      <c r="D51" s="3" t="s">
        <v>73</v>
      </c>
      <c r="E51" s="2" t="s">
        <v>21</v>
      </c>
      <c r="F51" s="3" t="s">
        <v>15</v>
      </c>
      <c r="G51" s="3" t="s">
        <v>49</v>
      </c>
      <c r="H51" s="3" t="s">
        <v>26</v>
      </c>
      <c r="I51" s="4">
        <v>46805.0</v>
      </c>
      <c r="J51" s="3" t="s">
        <v>27</v>
      </c>
    </row>
    <row r="52" ht="22.5" customHeight="1">
      <c r="A52" s="2" t="s">
        <v>159</v>
      </c>
      <c r="B52" s="2" t="s">
        <v>160</v>
      </c>
      <c r="C52" s="3" t="s">
        <v>42</v>
      </c>
      <c r="D52" s="3" t="s">
        <v>37</v>
      </c>
      <c r="E52" s="2" t="s">
        <v>80</v>
      </c>
      <c r="F52" s="3" t="s">
        <v>15</v>
      </c>
      <c r="G52" s="3" t="s">
        <v>39</v>
      </c>
      <c r="H52" s="3" t="s">
        <v>26</v>
      </c>
      <c r="I52" s="4">
        <v>80000.0</v>
      </c>
      <c r="J52" s="3" t="s">
        <v>18</v>
      </c>
    </row>
    <row r="53" ht="22.5" customHeight="1">
      <c r="A53" s="2" t="s">
        <v>161</v>
      </c>
      <c r="B53" s="2" t="s">
        <v>162</v>
      </c>
      <c r="C53" s="3" t="s">
        <v>33</v>
      </c>
      <c r="D53" s="3" t="s">
        <v>84</v>
      </c>
      <c r="E53" s="2" t="s">
        <v>63</v>
      </c>
      <c r="F53" s="3" t="s">
        <v>15</v>
      </c>
      <c r="G53" s="3" t="s">
        <v>56</v>
      </c>
      <c r="H53" s="3" t="s">
        <v>44</v>
      </c>
      <c r="I53" s="4">
        <v>17876.0</v>
      </c>
      <c r="J53" s="3" t="s">
        <v>27</v>
      </c>
    </row>
    <row r="54" ht="22.5" customHeight="1">
      <c r="A54" s="2" t="s">
        <v>163</v>
      </c>
      <c r="B54" s="2" t="s">
        <v>164</v>
      </c>
      <c r="C54" s="3" t="s">
        <v>76</v>
      </c>
      <c r="D54" s="3" t="s">
        <v>84</v>
      </c>
      <c r="E54" s="2" t="s">
        <v>63</v>
      </c>
      <c r="F54" s="3" t="s">
        <v>15</v>
      </c>
      <c r="G54" s="3" t="s">
        <v>39</v>
      </c>
      <c r="H54" s="3" t="s">
        <v>26</v>
      </c>
      <c r="I54" s="4">
        <v>14267.0</v>
      </c>
      <c r="J54" s="3" t="s">
        <v>18</v>
      </c>
    </row>
    <row r="55" ht="22.5" customHeight="1">
      <c r="A55" s="2" t="s">
        <v>165</v>
      </c>
      <c r="B55" s="2" t="s">
        <v>166</v>
      </c>
      <c r="C55" s="3" t="s">
        <v>12</v>
      </c>
      <c r="D55" s="3" t="s">
        <v>73</v>
      </c>
      <c r="E55" s="2" t="s">
        <v>142</v>
      </c>
      <c r="F55" s="3" t="s">
        <v>15</v>
      </c>
      <c r="G55" s="3" t="s">
        <v>39</v>
      </c>
      <c r="H55" s="3" t="s">
        <v>44</v>
      </c>
      <c r="I55" s="4">
        <v>25103.0</v>
      </c>
      <c r="J55" s="3" t="s">
        <v>18</v>
      </c>
    </row>
    <row r="56" ht="22.5" customHeight="1">
      <c r="A56" s="2" t="s">
        <v>167</v>
      </c>
      <c r="B56" s="2" t="s">
        <v>168</v>
      </c>
      <c r="C56" s="3" t="s">
        <v>12</v>
      </c>
      <c r="D56" s="3" t="s">
        <v>73</v>
      </c>
      <c r="E56" s="2" t="s">
        <v>54</v>
      </c>
      <c r="F56" s="3" t="s">
        <v>55</v>
      </c>
      <c r="G56" s="3" t="s">
        <v>56</v>
      </c>
      <c r="H56" s="3" t="s">
        <v>44</v>
      </c>
      <c r="I56" s="4">
        <v>39096.0</v>
      </c>
      <c r="J56" s="3" t="s">
        <v>27</v>
      </c>
    </row>
    <row r="57" ht="22.5" customHeight="1">
      <c r="A57" s="2" t="s">
        <v>169</v>
      </c>
      <c r="B57" s="2" t="s">
        <v>170</v>
      </c>
      <c r="C57" s="3" t="s">
        <v>68</v>
      </c>
      <c r="D57" s="3" t="s">
        <v>84</v>
      </c>
      <c r="E57" s="2" t="s">
        <v>142</v>
      </c>
      <c r="F57" s="3" t="s">
        <v>15</v>
      </c>
      <c r="G57" s="3" t="s">
        <v>91</v>
      </c>
      <c r="H57" s="3" t="s">
        <v>44</v>
      </c>
      <c r="I57" s="4">
        <v>12857.0</v>
      </c>
      <c r="J57" s="3" t="s">
        <v>27</v>
      </c>
    </row>
    <row r="58" ht="22.5" customHeight="1">
      <c r="A58" s="2" t="s">
        <v>171</v>
      </c>
      <c r="B58" s="2" t="s">
        <v>172</v>
      </c>
      <c r="C58" s="3" t="s">
        <v>25</v>
      </c>
      <c r="D58" s="3" t="s">
        <v>84</v>
      </c>
      <c r="E58" s="2" t="s">
        <v>54</v>
      </c>
      <c r="F58" s="3" t="s">
        <v>55</v>
      </c>
      <c r="G58" s="3" t="s">
        <v>56</v>
      </c>
      <c r="H58" s="3" t="s">
        <v>44</v>
      </c>
      <c r="I58" s="4">
        <v>17944.0</v>
      </c>
      <c r="J58" s="3" t="s">
        <v>50</v>
      </c>
    </row>
    <row r="59" ht="22.5" customHeight="1">
      <c r="A59" s="2" t="s">
        <v>173</v>
      </c>
      <c r="B59" s="2" t="s">
        <v>174</v>
      </c>
      <c r="C59" s="3" t="s">
        <v>33</v>
      </c>
      <c r="D59" s="3" t="s">
        <v>84</v>
      </c>
      <c r="E59" s="2" t="s">
        <v>21</v>
      </c>
      <c r="F59" s="3" t="s">
        <v>15</v>
      </c>
      <c r="G59" s="3" t="s">
        <v>56</v>
      </c>
      <c r="H59" s="3" t="s">
        <v>44</v>
      </c>
      <c r="I59" s="4">
        <v>18636.0</v>
      </c>
      <c r="J59" s="3" t="s">
        <v>27</v>
      </c>
    </row>
    <row r="60" ht="22.5" customHeight="1">
      <c r="A60" s="2" t="s">
        <v>175</v>
      </c>
      <c r="B60" s="2" t="s">
        <v>176</v>
      </c>
      <c r="C60" s="3" t="s">
        <v>12</v>
      </c>
      <c r="D60" s="3" t="s">
        <v>73</v>
      </c>
      <c r="E60" s="2" t="s">
        <v>34</v>
      </c>
      <c r="F60" s="3" t="s">
        <v>15</v>
      </c>
      <c r="G60" s="3" t="s">
        <v>49</v>
      </c>
      <c r="H60" s="3" t="s">
        <v>44</v>
      </c>
      <c r="I60" s="4">
        <v>45278.0</v>
      </c>
      <c r="J60" s="3" t="s">
        <v>50</v>
      </c>
    </row>
    <row r="61" ht="22.5" customHeight="1">
      <c r="A61" s="2" t="s">
        <v>177</v>
      </c>
      <c r="B61" s="2" t="s">
        <v>178</v>
      </c>
      <c r="C61" s="3" t="s">
        <v>76</v>
      </c>
      <c r="D61" s="3" t="s">
        <v>73</v>
      </c>
      <c r="E61" s="2" t="s">
        <v>54</v>
      </c>
      <c r="F61" s="3" t="s">
        <v>55</v>
      </c>
      <c r="G61" s="3" t="s">
        <v>91</v>
      </c>
      <c r="H61" s="3" t="s">
        <v>26</v>
      </c>
      <c r="I61" s="4">
        <v>31904.0</v>
      </c>
      <c r="J61" s="3" t="s">
        <v>18</v>
      </c>
    </row>
    <row r="62" ht="22.5" customHeight="1">
      <c r="A62" s="2" t="s">
        <v>179</v>
      </c>
      <c r="B62" s="2" t="s">
        <v>180</v>
      </c>
      <c r="C62" s="3" t="s">
        <v>33</v>
      </c>
      <c r="D62" s="3" t="s">
        <v>73</v>
      </c>
      <c r="E62" s="2" t="s">
        <v>54</v>
      </c>
      <c r="F62" s="3" t="s">
        <v>55</v>
      </c>
      <c r="G62" s="3" t="s">
        <v>39</v>
      </c>
      <c r="H62" s="3" t="s">
        <v>26</v>
      </c>
      <c r="I62" s="4">
        <v>45827.0</v>
      </c>
      <c r="J62" s="3" t="s">
        <v>50</v>
      </c>
    </row>
    <row r="63" ht="22.5" customHeight="1">
      <c r="A63" s="2" t="s">
        <v>181</v>
      </c>
      <c r="B63" s="2" t="s">
        <v>182</v>
      </c>
      <c r="C63" s="3" t="s">
        <v>68</v>
      </c>
      <c r="D63" s="3" t="s">
        <v>73</v>
      </c>
      <c r="E63" s="2" t="s">
        <v>38</v>
      </c>
      <c r="F63" s="3" t="s">
        <v>15</v>
      </c>
      <c r="G63" s="3" t="s">
        <v>39</v>
      </c>
      <c r="H63" s="3" t="s">
        <v>26</v>
      </c>
      <c r="I63" s="4">
        <v>23590.0</v>
      </c>
      <c r="J63" s="3" t="s">
        <v>18</v>
      </c>
    </row>
    <row r="64" ht="22.5" customHeight="1">
      <c r="A64" s="2" t="s">
        <v>183</v>
      </c>
      <c r="B64" s="2" t="s">
        <v>184</v>
      </c>
      <c r="C64" s="3" t="s">
        <v>33</v>
      </c>
      <c r="D64" s="3" t="s">
        <v>73</v>
      </c>
      <c r="E64" s="2" t="s">
        <v>63</v>
      </c>
      <c r="F64" s="3" t="s">
        <v>15</v>
      </c>
      <c r="G64" s="3" t="s">
        <v>39</v>
      </c>
      <c r="H64" s="3" t="s">
        <v>26</v>
      </c>
      <c r="I64" s="4">
        <v>38437.0</v>
      </c>
      <c r="J64" s="3" t="s">
        <v>27</v>
      </c>
    </row>
    <row r="65" ht="22.5" customHeight="1">
      <c r="A65" s="2" t="s">
        <v>185</v>
      </c>
      <c r="B65" s="2" t="s">
        <v>186</v>
      </c>
      <c r="C65" s="3" t="s">
        <v>25</v>
      </c>
      <c r="D65" s="3" t="s">
        <v>73</v>
      </c>
      <c r="E65" s="2" t="s">
        <v>21</v>
      </c>
      <c r="F65" s="3" t="s">
        <v>15</v>
      </c>
      <c r="G65" s="3" t="s">
        <v>22</v>
      </c>
      <c r="H65" s="3" t="s">
        <v>26</v>
      </c>
      <c r="I65" s="4">
        <v>24386.0</v>
      </c>
      <c r="J65" s="3" t="s">
        <v>27</v>
      </c>
    </row>
    <row r="66" ht="22.5" customHeight="1">
      <c r="A66" s="2" t="s">
        <v>187</v>
      </c>
      <c r="B66" s="2" t="s">
        <v>188</v>
      </c>
      <c r="C66" s="3" t="s">
        <v>12</v>
      </c>
      <c r="D66" s="3" t="s">
        <v>37</v>
      </c>
      <c r="E66" s="2" t="s">
        <v>14</v>
      </c>
      <c r="F66" s="3" t="s">
        <v>15</v>
      </c>
      <c r="G66" s="3" t="s">
        <v>22</v>
      </c>
      <c r="H66" s="3" t="s">
        <v>26</v>
      </c>
      <c r="I66" s="4">
        <v>80000.0</v>
      </c>
      <c r="J66" s="3" t="s">
        <v>27</v>
      </c>
    </row>
    <row r="67" ht="22.5" customHeight="1">
      <c r="A67" s="2" t="s">
        <v>189</v>
      </c>
      <c r="B67" s="2" t="s">
        <v>190</v>
      </c>
      <c r="C67" s="3" t="s">
        <v>76</v>
      </c>
      <c r="D67" s="3" t="s">
        <v>73</v>
      </c>
      <c r="E67" s="2" t="s">
        <v>54</v>
      </c>
      <c r="F67" s="3" t="s">
        <v>55</v>
      </c>
      <c r="G67" s="3" t="s">
        <v>22</v>
      </c>
      <c r="H67" s="3" t="s">
        <v>26</v>
      </c>
      <c r="I67" s="4">
        <v>37301.0</v>
      </c>
      <c r="J67" s="3" t="s">
        <v>18</v>
      </c>
    </row>
    <row r="68" ht="22.5" customHeight="1">
      <c r="A68" s="2" t="s">
        <v>191</v>
      </c>
      <c r="B68" s="2" t="s">
        <v>192</v>
      </c>
      <c r="C68" s="3" t="s">
        <v>25</v>
      </c>
      <c r="D68" s="3" t="s">
        <v>73</v>
      </c>
      <c r="E68" s="2" t="s">
        <v>47</v>
      </c>
      <c r="F68" s="3" t="s">
        <v>48</v>
      </c>
      <c r="G68" s="3" t="s">
        <v>49</v>
      </c>
      <c r="H68" s="3" t="s">
        <v>44</v>
      </c>
      <c r="I68" s="4">
        <v>25020.0</v>
      </c>
      <c r="J68" s="3" t="s">
        <v>50</v>
      </c>
    </row>
    <row r="69" ht="22.5" customHeight="1">
      <c r="A69" s="2" t="s">
        <v>193</v>
      </c>
      <c r="B69" s="2" t="s">
        <v>194</v>
      </c>
      <c r="C69" s="3" t="s">
        <v>25</v>
      </c>
      <c r="D69" s="3" t="s">
        <v>73</v>
      </c>
      <c r="E69" s="2" t="s">
        <v>123</v>
      </c>
      <c r="F69" s="3" t="s">
        <v>55</v>
      </c>
      <c r="G69" s="3" t="s">
        <v>56</v>
      </c>
      <c r="H69" s="3" t="s">
        <v>26</v>
      </c>
      <c r="I69" s="4">
        <v>27221.0</v>
      </c>
      <c r="J69" s="3" t="s">
        <v>27</v>
      </c>
    </row>
    <row r="70" ht="22.5" customHeight="1">
      <c r="A70" s="2" t="s">
        <v>195</v>
      </c>
      <c r="B70" s="2" t="s">
        <v>196</v>
      </c>
      <c r="C70" s="3" t="s">
        <v>25</v>
      </c>
      <c r="D70" s="3" t="s">
        <v>73</v>
      </c>
      <c r="E70" s="2" t="s">
        <v>80</v>
      </c>
      <c r="F70" s="3" t="s">
        <v>15</v>
      </c>
      <c r="G70" s="3" t="s">
        <v>43</v>
      </c>
      <c r="H70" s="3" t="s">
        <v>44</v>
      </c>
      <c r="I70" s="4">
        <v>46193.0</v>
      </c>
      <c r="J70" s="3" t="s">
        <v>27</v>
      </c>
    </row>
    <row r="71" ht="22.5" customHeight="1">
      <c r="A71" s="2" t="s">
        <v>197</v>
      </c>
      <c r="B71" s="2" t="s">
        <v>198</v>
      </c>
      <c r="C71" s="3" t="s">
        <v>12</v>
      </c>
      <c r="D71" s="3" t="s">
        <v>37</v>
      </c>
      <c r="E71" s="2" t="s">
        <v>21</v>
      </c>
      <c r="F71" s="3" t="s">
        <v>15</v>
      </c>
      <c r="G71" s="3" t="s">
        <v>49</v>
      </c>
      <c r="H71" s="3" t="s">
        <v>26</v>
      </c>
      <c r="I71" s="4">
        <v>57195.0</v>
      </c>
      <c r="J71" s="3" t="s">
        <v>18</v>
      </c>
    </row>
    <row r="72" ht="22.5" customHeight="1">
      <c r="A72" s="2" t="s">
        <v>199</v>
      </c>
      <c r="B72" s="2" t="s">
        <v>200</v>
      </c>
      <c r="C72" s="3" t="s">
        <v>33</v>
      </c>
      <c r="D72" s="3" t="s">
        <v>73</v>
      </c>
      <c r="E72" s="2" t="s">
        <v>21</v>
      </c>
      <c r="F72" s="3" t="s">
        <v>15</v>
      </c>
      <c r="G72" s="3" t="s">
        <v>22</v>
      </c>
      <c r="H72" s="3" t="s">
        <v>44</v>
      </c>
      <c r="I72" s="4">
        <v>41946.0</v>
      </c>
      <c r="J72" s="3" t="s">
        <v>27</v>
      </c>
    </row>
    <row r="73" ht="22.5" customHeight="1">
      <c r="A73" s="2" t="s">
        <v>201</v>
      </c>
      <c r="B73" s="2" t="s">
        <v>202</v>
      </c>
      <c r="C73" s="3" t="s">
        <v>76</v>
      </c>
      <c r="D73" s="3" t="s">
        <v>73</v>
      </c>
      <c r="E73" s="2" t="s">
        <v>90</v>
      </c>
      <c r="F73" s="3" t="s">
        <v>15</v>
      </c>
      <c r="G73" s="3" t="s">
        <v>56</v>
      </c>
      <c r="H73" s="3" t="s">
        <v>26</v>
      </c>
      <c r="I73" s="4">
        <v>42174.0</v>
      </c>
      <c r="J73" s="3" t="s">
        <v>27</v>
      </c>
    </row>
    <row r="74" ht="22.5" customHeight="1">
      <c r="A74" s="2" t="s">
        <v>203</v>
      </c>
      <c r="B74" s="2" t="s">
        <v>204</v>
      </c>
      <c r="C74" s="3" t="s">
        <v>25</v>
      </c>
      <c r="D74" s="3" t="s">
        <v>73</v>
      </c>
      <c r="E74" s="2" t="s">
        <v>34</v>
      </c>
      <c r="F74" s="3" t="s">
        <v>15</v>
      </c>
      <c r="G74" s="3" t="s">
        <v>22</v>
      </c>
      <c r="H74" s="3" t="s">
        <v>26</v>
      </c>
      <c r="I74" s="4">
        <v>23631.0</v>
      </c>
      <c r="J74" s="3" t="s">
        <v>27</v>
      </c>
    </row>
    <row r="75" ht="22.5" customHeight="1">
      <c r="A75" s="2" t="s">
        <v>205</v>
      </c>
      <c r="B75" s="2" t="s">
        <v>206</v>
      </c>
      <c r="C75" s="3" t="s">
        <v>42</v>
      </c>
      <c r="D75" s="3" t="s">
        <v>73</v>
      </c>
      <c r="E75" s="2" t="s">
        <v>142</v>
      </c>
      <c r="F75" s="3" t="s">
        <v>15</v>
      </c>
      <c r="G75" s="3" t="s">
        <v>91</v>
      </c>
      <c r="H75" s="3" t="s">
        <v>44</v>
      </c>
      <c r="I75" s="4">
        <v>26266.0</v>
      </c>
      <c r="J75" s="3" t="s">
        <v>18</v>
      </c>
    </row>
    <row r="76" ht="22.5" customHeight="1">
      <c r="A76" s="2" t="s">
        <v>207</v>
      </c>
      <c r="B76" s="2" t="s">
        <v>208</v>
      </c>
      <c r="C76" s="3" t="s">
        <v>12</v>
      </c>
      <c r="D76" s="3" t="s">
        <v>73</v>
      </c>
      <c r="E76" s="2" t="s">
        <v>117</v>
      </c>
      <c r="F76" s="3" t="s">
        <v>118</v>
      </c>
      <c r="G76" s="3" t="s">
        <v>39</v>
      </c>
      <c r="H76" s="3" t="s">
        <v>26</v>
      </c>
      <c r="I76" s="4">
        <v>31267.0</v>
      </c>
      <c r="J76" s="3" t="s">
        <v>18</v>
      </c>
    </row>
    <row r="77" ht="22.5" customHeight="1">
      <c r="A77" s="2" t="s">
        <v>209</v>
      </c>
      <c r="B77" s="2" t="s">
        <v>210</v>
      </c>
      <c r="C77" s="3" t="s">
        <v>42</v>
      </c>
      <c r="D77" s="3" t="s">
        <v>73</v>
      </c>
      <c r="E77" s="2" t="s">
        <v>34</v>
      </c>
      <c r="F77" s="3" t="s">
        <v>15</v>
      </c>
      <c r="G77" s="3" t="s">
        <v>49</v>
      </c>
      <c r="H77" s="3" t="s">
        <v>44</v>
      </c>
      <c r="I77" s="4">
        <v>40996.0</v>
      </c>
      <c r="J77" s="3" t="s">
        <v>50</v>
      </c>
    </row>
    <row r="78" ht="22.5" customHeight="1">
      <c r="A78" s="2" t="s">
        <v>211</v>
      </c>
      <c r="B78" s="2" t="s">
        <v>212</v>
      </c>
      <c r="C78" s="3" t="s">
        <v>76</v>
      </c>
      <c r="D78" s="3" t="s">
        <v>84</v>
      </c>
      <c r="E78" s="2" t="s">
        <v>63</v>
      </c>
      <c r="F78" s="3" t="s">
        <v>15</v>
      </c>
      <c r="G78" s="3" t="s">
        <v>91</v>
      </c>
      <c r="H78" s="3" t="s">
        <v>26</v>
      </c>
      <c r="I78" s="4">
        <v>17297.0</v>
      </c>
      <c r="J78" s="3" t="s">
        <v>27</v>
      </c>
    </row>
    <row r="79" ht="22.5" customHeight="1">
      <c r="A79" s="2" t="s">
        <v>213</v>
      </c>
      <c r="B79" s="2" t="s">
        <v>214</v>
      </c>
      <c r="C79" s="3" t="s">
        <v>12</v>
      </c>
      <c r="D79" s="3" t="s">
        <v>37</v>
      </c>
      <c r="E79" s="2" t="s">
        <v>21</v>
      </c>
      <c r="F79" s="3" t="s">
        <v>15</v>
      </c>
      <c r="G79" s="3" t="s">
        <v>39</v>
      </c>
      <c r="H79" s="3" t="s">
        <v>26</v>
      </c>
      <c r="I79" s="4">
        <v>52941.0</v>
      </c>
      <c r="J79" s="3" t="s">
        <v>18</v>
      </c>
    </row>
    <row r="80" ht="22.5" customHeight="1">
      <c r="A80" s="2" t="s">
        <v>215</v>
      </c>
      <c r="B80" s="2" t="s">
        <v>216</v>
      </c>
      <c r="C80" s="3" t="s">
        <v>25</v>
      </c>
      <c r="D80" s="3" t="s">
        <v>73</v>
      </c>
      <c r="E80" s="2" t="s">
        <v>21</v>
      </c>
      <c r="F80" s="3" t="s">
        <v>15</v>
      </c>
      <c r="G80" s="3" t="s">
        <v>22</v>
      </c>
      <c r="H80" s="3" t="s">
        <v>44</v>
      </c>
      <c r="I80" s="4">
        <v>26645.0</v>
      </c>
      <c r="J80" s="3" t="s">
        <v>18</v>
      </c>
    </row>
    <row r="81" ht="22.5" customHeight="1">
      <c r="A81" s="2" t="s">
        <v>217</v>
      </c>
      <c r="B81" s="2" t="s">
        <v>218</v>
      </c>
      <c r="C81" s="3" t="s">
        <v>25</v>
      </c>
      <c r="D81" s="3" t="s">
        <v>73</v>
      </c>
      <c r="E81" s="2" t="s">
        <v>100</v>
      </c>
      <c r="F81" s="3" t="s">
        <v>15</v>
      </c>
      <c r="G81" s="3" t="s">
        <v>56</v>
      </c>
      <c r="H81" s="3" t="s">
        <v>44</v>
      </c>
      <c r="I81" s="4">
        <v>23786.0</v>
      </c>
      <c r="J81" s="3" t="s">
        <v>50</v>
      </c>
    </row>
    <row r="82" ht="22.5" customHeight="1">
      <c r="A82" s="2" t="s">
        <v>219</v>
      </c>
      <c r="B82" s="2" t="s">
        <v>220</v>
      </c>
      <c r="C82" s="3" t="s">
        <v>12</v>
      </c>
      <c r="D82" s="3" t="s">
        <v>73</v>
      </c>
      <c r="E82" s="2" t="s">
        <v>38</v>
      </c>
      <c r="F82" s="3" t="s">
        <v>15</v>
      </c>
      <c r="G82" s="3" t="s">
        <v>56</v>
      </c>
      <c r="H82" s="3" t="s">
        <v>44</v>
      </c>
      <c r="I82" s="4">
        <v>48015.0</v>
      </c>
      <c r="J82" s="3" t="s">
        <v>18</v>
      </c>
    </row>
    <row r="83" ht="22.5" customHeight="1">
      <c r="A83" s="2" t="s">
        <v>221</v>
      </c>
      <c r="B83" s="2" t="s">
        <v>222</v>
      </c>
      <c r="C83" s="3" t="s">
        <v>25</v>
      </c>
      <c r="D83" s="3" t="s">
        <v>73</v>
      </c>
      <c r="E83" s="2" t="s">
        <v>100</v>
      </c>
      <c r="F83" s="3" t="s">
        <v>15</v>
      </c>
      <c r="G83" s="3" t="s">
        <v>49</v>
      </c>
      <c r="H83" s="3" t="s">
        <v>26</v>
      </c>
      <c r="I83" s="4">
        <v>22875.0</v>
      </c>
      <c r="J83" s="3" t="s">
        <v>18</v>
      </c>
    </row>
    <row r="84" ht="22.5" customHeight="1">
      <c r="A84" s="2" t="s">
        <v>223</v>
      </c>
      <c r="B84" s="2" t="s">
        <v>224</v>
      </c>
      <c r="C84" s="3" t="s">
        <v>33</v>
      </c>
      <c r="D84" s="3" t="s">
        <v>84</v>
      </c>
      <c r="E84" s="2" t="s">
        <v>38</v>
      </c>
      <c r="F84" s="3" t="s">
        <v>15</v>
      </c>
      <c r="G84" s="3" t="s">
        <v>91</v>
      </c>
      <c r="H84" s="3" t="s">
        <v>44</v>
      </c>
      <c r="I84" s="4">
        <v>16194.0</v>
      </c>
      <c r="J84" s="3" t="s">
        <v>18</v>
      </c>
    </row>
    <row r="85" ht="22.5" customHeight="1">
      <c r="A85" s="2" t="s">
        <v>225</v>
      </c>
      <c r="B85" s="2" t="s">
        <v>226</v>
      </c>
      <c r="C85" s="3" t="s">
        <v>12</v>
      </c>
      <c r="D85" s="3" t="s">
        <v>73</v>
      </c>
      <c r="E85" s="2" t="s">
        <v>80</v>
      </c>
      <c r="F85" s="3" t="s">
        <v>15</v>
      </c>
      <c r="G85" s="3" t="s">
        <v>49</v>
      </c>
      <c r="H85" s="3" t="s">
        <v>44</v>
      </c>
      <c r="I85" s="4">
        <v>49313.0</v>
      </c>
      <c r="J85" s="3" t="s">
        <v>18</v>
      </c>
    </row>
    <row r="86" ht="22.5" customHeight="1">
      <c r="A86" s="2" t="s">
        <v>227</v>
      </c>
      <c r="B86" s="2" t="s">
        <v>228</v>
      </c>
      <c r="C86" s="3" t="s">
        <v>12</v>
      </c>
      <c r="D86" s="3" t="s">
        <v>73</v>
      </c>
      <c r="E86" s="2" t="s">
        <v>38</v>
      </c>
      <c r="F86" s="3" t="s">
        <v>15</v>
      </c>
      <c r="G86" s="3" t="s">
        <v>56</v>
      </c>
      <c r="H86" s="3" t="s">
        <v>44</v>
      </c>
      <c r="I86" s="4">
        <v>24311.0</v>
      </c>
      <c r="J86" s="3" t="s">
        <v>27</v>
      </c>
    </row>
    <row r="87" ht="22.5" customHeight="1">
      <c r="A87" s="2" t="s">
        <v>229</v>
      </c>
      <c r="B87" s="2" t="s">
        <v>230</v>
      </c>
      <c r="C87" s="3" t="s">
        <v>25</v>
      </c>
      <c r="D87" s="3" t="s">
        <v>73</v>
      </c>
      <c r="E87" s="2" t="s">
        <v>105</v>
      </c>
      <c r="F87" s="3" t="s">
        <v>15</v>
      </c>
      <c r="G87" s="3" t="s">
        <v>91</v>
      </c>
      <c r="H87" s="3" t="s">
        <v>26</v>
      </c>
      <c r="I87" s="4">
        <v>33039.0</v>
      </c>
      <c r="J87" s="3" t="s">
        <v>50</v>
      </c>
    </row>
    <row r="88" ht="22.5" customHeight="1">
      <c r="A88" s="2" t="s">
        <v>231</v>
      </c>
      <c r="B88" s="2" t="s">
        <v>232</v>
      </c>
      <c r="C88" s="3" t="s">
        <v>12</v>
      </c>
      <c r="D88" s="3" t="s">
        <v>73</v>
      </c>
      <c r="E88" s="2" t="s">
        <v>80</v>
      </c>
      <c r="F88" s="3" t="s">
        <v>15</v>
      </c>
      <c r="G88" s="3" t="s">
        <v>39</v>
      </c>
      <c r="H88" s="3" t="s">
        <v>26</v>
      </c>
      <c r="I88" s="4">
        <v>43752.0</v>
      </c>
      <c r="J88" s="3" t="s">
        <v>27</v>
      </c>
    </row>
    <row r="89" ht="22.5" customHeight="1">
      <c r="A89" s="2" t="s">
        <v>233</v>
      </c>
      <c r="B89" s="2" t="s">
        <v>234</v>
      </c>
      <c r="C89" s="3" t="s">
        <v>12</v>
      </c>
      <c r="D89" s="3" t="s">
        <v>73</v>
      </c>
      <c r="E89" s="2" t="s">
        <v>110</v>
      </c>
      <c r="F89" s="3" t="s">
        <v>15</v>
      </c>
      <c r="G89" s="3" t="s">
        <v>49</v>
      </c>
      <c r="H89" s="3" t="s">
        <v>26</v>
      </c>
      <c r="I89" s="4">
        <v>23692.0</v>
      </c>
      <c r="J89" s="3" t="s">
        <v>18</v>
      </c>
    </row>
    <row r="90" ht="22.5" customHeight="1">
      <c r="A90" s="2" t="s">
        <v>235</v>
      </c>
      <c r="B90" s="2" t="s">
        <v>236</v>
      </c>
      <c r="C90" s="3" t="s">
        <v>42</v>
      </c>
      <c r="D90" s="3" t="s">
        <v>73</v>
      </c>
      <c r="E90" s="2" t="s">
        <v>38</v>
      </c>
      <c r="F90" s="3" t="s">
        <v>15</v>
      </c>
      <c r="G90" s="3" t="s">
        <v>39</v>
      </c>
      <c r="H90" s="3" t="s">
        <v>26</v>
      </c>
      <c r="I90" s="4">
        <v>28867.0</v>
      </c>
      <c r="J90" s="3" t="s">
        <v>18</v>
      </c>
    </row>
    <row r="91" ht="22.5" customHeight="1">
      <c r="A91" s="2" t="s">
        <v>237</v>
      </c>
      <c r="B91" s="2" t="s">
        <v>238</v>
      </c>
      <c r="C91" s="3" t="s">
        <v>12</v>
      </c>
      <c r="D91" s="3" t="s">
        <v>73</v>
      </c>
      <c r="E91" s="2" t="s">
        <v>110</v>
      </c>
      <c r="F91" s="3" t="s">
        <v>15</v>
      </c>
      <c r="G91" s="3" t="s">
        <v>22</v>
      </c>
      <c r="H91" s="3" t="s">
        <v>44</v>
      </c>
      <c r="I91" s="4">
        <v>29409.0</v>
      </c>
      <c r="J91" s="3" t="s">
        <v>27</v>
      </c>
    </row>
    <row r="92" ht="22.5" customHeight="1">
      <c r="A92" s="2" t="s">
        <v>239</v>
      </c>
      <c r="B92" s="2" t="s">
        <v>240</v>
      </c>
      <c r="C92" s="3" t="s">
        <v>53</v>
      </c>
      <c r="D92" s="3" t="s">
        <v>73</v>
      </c>
      <c r="E92" s="2" t="s">
        <v>100</v>
      </c>
      <c r="F92" s="3" t="s">
        <v>15</v>
      </c>
      <c r="G92" s="3" t="s">
        <v>56</v>
      </c>
      <c r="H92" s="3" t="s">
        <v>44</v>
      </c>
      <c r="I92" s="4">
        <v>23053.0</v>
      </c>
      <c r="J92" s="3" t="s">
        <v>18</v>
      </c>
    </row>
    <row r="93" ht="22.5" customHeight="1">
      <c r="A93" s="2" t="s">
        <v>241</v>
      </c>
      <c r="B93" s="2" t="s">
        <v>242</v>
      </c>
      <c r="C93" s="3" t="s">
        <v>25</v>
      </c>
      <c r="D93" s="3" t="s">
        <v>84</v>
      </c>
      <c r="E93" s="2" t="s">
        <v>38</v>
      </c>
      <c r="F93" s="3" t="s">
        <v>15</v>
      </c>
      <c r="G93" s="3" t="s">
        <v>39</v>
      </c>
      <c r="H93" s="3" t="s">
        <v>44</v>
      </c>
      <c r="I93" s="4">
        <v>15028.0</v>
      </c>
      <c r="J93" s="3" t="s">
        <v>27</v>
      </c>
    </row>
    <row r="94" ht="22.5" customHeight="1">
      <c r="A94" s="2" t="s">
        <v>243</v>
      </c>
      <c r="B94" s="2" t="s">
        <v>244</v>
      </c>
      <c r="C94" s="3" t="s">
        <v>76</v>
      </c>
      <c r="D94" s="3" t="s">
        <v>84</v>
      </c>
      <c r="E94" s="2" t="s">
        <v>38</v>
      </c>
      <c r="F94" s="3" t="s">
        <v>15</v>
      </c>
      <c r="G94" s="3" t="s">
        <v>22</v>
      </c>
      <c r="H94" s="3" t="s">
        <v>26</v>
      </c>
      <c r="I94" s="4">
        <v>17705.0</v>
      </c>
      <c r="J94" s="3" t="s">
        <v>18</v>
      </c>
    </row>
    <row r="95" ht="22.5" customHeight="1">
      <c r="A95" s="2" t="s">
        <v>245</v>
      </c>
      <c r="B95" s="2" t="s">
        <v>246</v>
      </c>
      <c r="C95" s="3" t="s">
        <v>12</v>
      </c>
      <c r="D95" s="3" t="s">
        <v>73</v>
      </c>
      <c r="E95" s="2" t="s">
        <v>34</v>
      </c>
      <c r="F95" s="3" t="s">
        <v>15</v>
      </c>
      <c r="G95" s="3" t="s">
        <v>22</v>
      </c>
      <c r="H95" s="3" t="s">
        <v>44</v>
      </c>
      <c r="I95" s="4">
        <v>26231.0</v>
      </c>
      <c r="J95" s="3" t="s">
        <v>27</v>
      </c>
    </row>
    <row r="96" ht="22.5" customHeight="1">
      <c r="A96" s="2" t="s">
        <v>247</v>
      </c>
      <c r="B96" s="2" t="s">
        <v>248</v>
      </c>
      <c r="C96" s="3" t="s">
        <v>42</v>
      </c>
      <c r="D96" s="3" t="s">
        <v>73</v>
      </c>
      <c r="E96" s="2" t="s">
        <v>142</v>
      </c>
      <c r="F96" s="3" t="s">
        <v>15</v>
      </c>
      <c r="G96" s="3" t="s">
        <v>49</v>
      </c>
      <c r="H96" s="3" t="s">
        <v>26</v>
      </c>
      <c r="I96" s="4">
        <v>27776.0</v>
      </c>
      <c r="J96" s="3" t="s">
        <v>27</v>
      </c>
    </row>
    <row r="97" ht="22.5" customHeight="1">
      <c r="A97" s="2" t="s">
        <v>249</v>
      </c>
      <c r="B97" s="2" t="s">
        <v>250</v>
      </c>
      <c r="C97" s="3" t="s">
        <v>33</v>
      </c>
      <c r="D97" s="3" t="s">
        <v>73</v>
      </c>
      <c r="E97" s="2" t="s">
        <v>94</v>
      </c>
      <c r="F97" s="3" t="s">
        <v>55</v>
      </c>
      <c r="G97" s="3" t="s">
        <v>91</v>
      </c>
      <c r="H97" s="3" t="s">
        <v>26</v>
      </c>
      <c r="I97" s="4">
        <v>42394.0</v>
      </c>
      <c r="J97" s="3" t="s">
        <v>50</v>
      </c>
    </row>
    <row r="98" ht="22.5" customHeight="1">
      <c r="A98" s="2" t="s">
        <v>251</v>
      </c>
      <c r="B98" s="2" t="s">
        <v>252</v>
      </c>
      <c r="C98" s="3" t="s">
        <v>42</v>
      </c>
      <c r="D98" s="3" t="s">
        <v>73</v>
      </c>
      <c r="E98" s="2" t="s">
        <v>63</v>
      </c>
      <c r="F98" s="3" t="s">
        <v>15</v>
      </c>
      <c r="G98" s="3" t="s">
        <v>49</v>
      </c>
      <c r="H98" s="3" t="s">
        <v>26</v>
      </c>
      <c r="I98" s="4">
        <v>41461.0</v>
      </c>
      <c r="J98" s="3" t="s">
        <v>18</v>
      </c>
    </row>
    <row r="99" ht="22.5" customHeight="1">
      <c r="A99" s="2" t="s">
        <v>253</v>
      </c>
      <c r="B99" s="2" t="s">
        <v>254</v>
      </c>
      <c r="C99" s="3" t="s">
        <v>33</v>
      </c>
      <c r="D99" s="3" t="s">
        <v>84</v>
      </c>
      <c r="E99" s="2" t="s">
        <v>14</v>
      </c>
      <c r="F99" s="3" t="s">
        <v>15</v>
      </c>
      <c r="G99" s="3" t="s">
        <v>22</v>
      </c>
      <c r="H99" s="3" t="s">
        <v>26</v>
      </c>
      <c r="I99" s="4">
        <v>19577.0</v>
      </c>
      <c r="J99" s="3" t="s">
        <v>27</v>
      </c>
    </row>
    <row r="100" ht="22.5" customHeight="1">
      <c r="A100" s="2" t="s">
        <v>255</v>
      </c>
      <c r="B100" s="2" t="s">
        <v>256</v>
      </c>
      <c r="C100" s="3" t="s">
        <v>25</v>
      </c>
      <c r="D100" s="3" t="s">
        <v>73</v>
      </c>
      <c r="E100" s="2" t="s">
        <v>105</v>
      </c>
      <c r="F100" s="3" t="s">
        <v>15</v>
      </c>
      <c r="G100" s="3" t="s">
        <v>39</v>
      </c>
      <c r="H100" s="3" t="s">
        <v>26</v>
      </c>
      <c r="I100" s="4">
        <v>34516.0</v>
      </c>
      <c r="J100" s="3" t="s">
        <v>27</v>
      </c>
    </row>
    <row r="101" ht="22.5" customHeight="1">
      <c r="A101" s="2" t="s">
        <v>257</v>
      </c>
      <c r="B101" s="2" t="s">
        <v>258</v>
      </c>
      <c r="C101" s="3" t="s">
        <v>68</v>
      </c>
      <c r="D101" s="3" t="s">
        <v>84</v>
      </c>
      <c r="E101" s="2" t="s">
        <v>100</v>
      </c>
      <c r="F101" s="3" t="s">
        <v>15</v>
      </c>
      <c r="G101" s="3" t="s">
        <v>39</v>
      </c>
      <c r="H101" s="3" t="s">
        <v>26</v>
      </c>
      <c r="I101" s="4">
        <v>15100.0</v>
      </c>
      <c r="J101" s="3" t="s">
        <v>18</v>
      </c>
    </row>
  </sheetData>
  <dataValidations>
    <dataValidation type="list" allowBlank="1" showDropDown="1" showErrorMessage="1" sqref="F2:F101">
      <formula1>"PR,SP,SC,RS"</formula1>
    </dataValidation>
    <dataValidation type="list" allowBlank="1" showDropDown="1" showErrorMessage="1" sqref="H2:H101">
      <formula1>"cooperativa,externo,interno"</formula1>
    </dataValidation>
    <dataValidation type="list" allowBlank="1" showDropDown="1" showErrorMessage="1" sqref="J2:J101">
      <formula1>"verde,amarela,vermelha"</formula1>
    </dataValidation>
    <dataValidation type="list" allowBlank="1" showDropDown="1" showErrorMessage="1" sqref="D2:D101">
      <formula1>"G,M,P,PP"</formula1>
    </dataValidation>
    <dataValidation type="list" allowBlank="1" showDropDown="1" showErrorMessage="1" sqref="G2:G101">
      <formula1>"V-COR,V-003,V-002,V-001,V-004,V-005,V-007,V-006"</formula1>
    </dataValidation>
    <dataValidation type="custom" allowBlank="1" showDropDown="1" sqref="I2:I101">
      <formula1>AND(ISNUMBER(I2),(NOT(OR(NOT(ISERROR(DATEVALUE(I2))), AND(ISNUMBER(I2), LEFT(CELL("format", I2))="D")))))</formula1>
    </dataValidation>
    <dataValidation type="list" allowBlank="1" showDropDown="1" showErrorMessage="1" sqref="C2:C101">
      <formula1>"alimenticio,cosmetico,distribuidor,farmaceutico,logistica,varejo,ecommerce,outros"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  <col customWidth="1" min="3" max="3" width="13.0"/>
    <col customWidth="1" min="5" max="5" width="19.25"/>
    <col customWidth="1" min="6" max="6" width="16.0"/>
    <col customWidth="1" min="7" max="7" width="13.38"/>
    <col customWidth="1" min="8" max="8" width="17.13"/>
    <col customWidth="1" min="9" max="9" width="16.0"/>
  </cols>
  <sheetData>
    <row r="1" ht="22.5" customHeight="1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</row>
    <row r="2" ht="22.5" customHeight="1">
      <c r="A2" s="2">
        <v>1.0</v>
      </c>
      <c r="B2" s="2" t="s">
        <v>268</v>
      </c>
      <c r="C2" s="2" t="s">
        <v>269</v>
      </c>
      <c r="D2" s="2">
        <v>11820.0</v>
      </c>
      <c r="E2" s="5">
        <v>46058.0</v>
      </c>
      <c r="F2" s="6">
        <v>46146.0</v>
      </c>
      <c r="G2" s="2">
        <v>61464.0</v>
      </c>
      <c r="H2" s="7">
        <v>47871.0</v>
      </c>
      <c r="I2" s="2">
        <v>13593.0</v>
      </c>
    </row>
    <row r="3" ht="22.5" customHeight="1">
      <c r="A3" s="2">
        <v>2.0</v>
      </c>
      <c r="B3" s="2" t="s">
        <v>268</v>
      </c>
      <c r="C3" s="2" t="s">
        <v>270</v>
      </c>
      <c r="D3" s="2">
        <v>7495.0</v>
      </c>
      <c r="E3" s="5">
        <v>46061.0</v>
      </c>
      <c r="F3" s="5">
        <v>46059.0</v>
      </c>
      <c r="G3" s="2">
        <v>61459.0</v>
      </c>
      <c r="H3" s="7">
        <v>46469.0</v>
      </c>
      <c r="I3" s="2">
        <v>14990.0</v>
      </c>
    </row>
    <row r="4" ht="22.5" customHeight="1">
      <c r="A4" s="2">
        <v>3.0</v>
      </c>
      <c r="B4" s="2" t="s">
        <v>271</v>
      </c>
      <c r="C4" s="2" t="s">
        <v>272</v>
      </c>
      <c r="D4" s="2">
        <v>10247.0</v>
      </c>
      <c r="E4" s="5">
        <v>46236.0</v>
      </c>
      <c r="F4" s="5">
        <v>46144.0</v>
      </c>
      <c r="G4" s="2" t="s">
        <v>273</v>
      </c>
      <c r="H4" s="2" t="s">
        <v>274</v>
      </c>
      <c r="I4" s="8">
        <v>428797.0</v>
      </c>
    </row>
    <row r="5" ht="22.5" customHeight="1">
      <c r="A5" s="2">
        <v>4.0</v>
      </c>
      <c r="B5" s="2" t="s">
        <v>271</v>
      </c>
      <c r="C5" s="2" t="s">
        <v>272</v>
      </c>
      <c r="D5" s="2">
        <v>10247.0</v>
      </c>
      <c r="E5" s="5">
        <v>46236.0</v>
      </c>
      <c r="F5" s="5">
        <v>46144.0</v>
      </c>
      <c r="G5" s="2" t="s">
        <v>273</v>
      </c>
      <c r="H5" s="2" t="s">
        <v>274</v>
      </c>
      <c r="I5" s="8">
        <v>428797.0</v>
      </c>
    </row>
    <row r="6" ht="22.5" customHeight="1">
      <c r="A6" s="2">
        <v>5.0</v>
      </c>
      <c r="B6" s="2" t="s">
        <v>275</v>
      </c>
      <c r="C6" s="2" t="s">
        <v>276</v>
      </c>
      <c r="D6" s="2">
        <v>6350.0</v>
      </c>
      <c r="E6" s="5">
        <v>46057.0</v>
      </c>
      <c r="F6" s="5">
        <v>46115.0</v>
      </c>
      <c r="G6" s="2">
        <v>26670.0</v>
      </c>
      <c r="H6" s="7">
        <v>21590.0</v>
      </c>
      <c r="I6" s="2">
        <v>5080.0</v>
      </c>
    </row>
    <row r="7" ht="22.5" customHeight="1">
      <c r="A7" s="2">
        <v>6.0</v>
      </c>
      <c r="B7" s="2" t="s">
        <v>277</v>
      </c>
      <c r="C7" s="2" t="s">
        <v>278</v>
      </c>
      <c r="D7" s="2">
        <v>424.0</v>
      </c>
      <c r="E7" s="5">
        <v>46115.0</v>
      </c>
      <c r="F7" s="2" t="s">
        <v>279</v>
      </c>
      <c r="G7" s="8" t="s">
        <v>280</v>
      </c>
      <c r="H7" s="8" t="s">
        <v>281</v>
      </c>
      <c r="I7" s="2" t="s">
        <v>282</v>
      </c>
    </row>
    <row r="8" ht="22.5" customHeight="1">
      <c r="A8" s="2">
        <v>7.0</v>
      </c>
      <c r="B8" s="2" t="s">
        <v>277</v>
      </c>
      <c r="C8" s="2" t="s">
        <v>278</v>
      </c>
      <c r="D8" s="2">
        <v>424.0</v>
      </c>
      <c r="E8" s="5">
        <v>46115.0</v>
      </c>
      <c r="F8" s="2" t="s">
        <v>279</v>
      </c>
      <c r="G8" s="8" t="s">
        <v>280</v>
      </c>
      <c r="H8" s="8" t="s">
        <v>281</v>
      </c>
      <c r="I8" s="2" t="s">
        <v>282</v>
      </c>
    </row>
    <row r="9" ht="22.5" customHeight="1">
      <c r="A9" s="2">
        <v>8.0</v>
      </c>
      <c r="B9" s="2" t="s">
        <v>277</v>
      </c>
      <c r="C9" s="2" t="s">
        <v>278</v>
      </c>
      <c r="D9" s="2">
        <v>423.0</v>
      </c>
      <c r="E9" s="5">
        <v>46115.0</v>
      </c>
      <c r="F9" s="2" t="s">
        <v>279</v>
      </c>
      <c r="G9" s="8" t="s">
        <v>283</v>
      </c>
      <c r="H9" s="2" t="s">
        <v>284</v>
      </c>
      <c r="I9" s="2" t="s">
        <v>285</v>
      </c>
    </row>
    <row r="10" ht="22.5" customHeight="1">
      <c r="A10" s="2">
        <v>9.0</v>
      </c>
      <c r="B10" s="2" t="s">
        <v>286</v>
      </c>
      <c r="C10" s="2" t="s">
        <v>287</v>
      </c>
      <c r="D10" s="2">
        <v>806.0</v>
      </c>
      <c r="E10" s="5">
        <v>46152.0</v>
      </c>
      <c r="F10" s="5">
        <v>46241.0</v>
      </c>
      <c r="G10" s="2">
        <v>8463.0</v>
      </c>
      <c r="H10" s="8">
        <v>1602168.0</v>
      </c>
      <c r="I10" s="8">
        <v>100840.0</v>
      </c>
    </row>
    <row r="11" ht="22.5" customHeight="1">
      <c r="A11" s="2">
        <v>10.0</v>
      </c>
      <c r="B11" s="2" t="s">
        <v>288</v>
      </c>
      <c r="C11" s="2" t="s">
        <v>287</v>
      </c>
      <c r="D11" s="2">
        <v>5456.0</v>
      </c>
      <c r="E11" s="5">
        <v>46152.0</v>
      </c>
      <c r="F11" s="5">
        <v>46241.0</v>
      </c>
      <c r="G11" s="2">
        <v>57288.0</v>
      </c>
      <c r="H11" s="2" t="s">
        <v>289</v>
      </c>
      <c r="I11" s="2" t="s">
        <v>290</v>
      </c>
    </row>
    <row r="12" ht="22.5" customHeight="1">
      <c r="A12" s="2">
        <v>11.0</v>
      </c>
      <c r="B12" s="2" t="s">
        <v>288</v>
      </c>
      <c r="C12" s="2" t="s">
        <v>291</v>
      </c>
      <c r="D12" s="2">
        <v>8424.0</v>
      </c>
      <c r="E12" s="5">
        <v>46240.0</v>
      </c>
      <c r="F12" s="5">
        <v>46027.0</v>
      </c>
      <c r="G12" s="2" t="s">
        <v>292</v>
      </c>
      <c r="H12" s="2" t="s">
        <v>293</v>
      </c>
      <c r="I12" s="2" t="s">
        <v>294</v>
      </c>
    </row>
    <row r="13" ht="22.5" customHeight="1">
      <c r="A13" s="2">
        <v>12.0</v>
      </c>
      <c r="B13" s="2" t="s">
        <v>288</v>
      </c>
      <c r="C13" s="2" t="s">
        <v>291</v>
      </c>
      <c r="D13" s="2">
        <v>8424.0</v>
      </c>
      <c r="E13" s="5">
        <v>46240.0</v>
      </c>
      <c r="F13" s="5">
        <v>46027.0</v>
      </c>
      <c r="G13" s="2" t="s">
        <v>292</v>
      </c>
      <c r="H13" s="2" t="s">
        <v>293</v>
      </c>
      <c r="I13" s="2" t="s">
        <v>294</v>
      </c>
    </row>
    <row r="14" ht="22.5" customHeight="1">
      <c r="A14" s="2">
        <v>13.0</v>
      </c>
      <c r="B14" s="2" t="s">
        <v>295</v>
      </c>
      <c r="C14" s="2" t="s">
        <v>278</v>
      </c>
      <c r="D14" s="2">
        <v>30715.0</v>
      </c>
      <c r="E14" s="5">
        <v>46115.0</v>
      </c>
      <c r="F14" s="2" t="s">
        <v>279</v>
      </c>
      <c r="G14" s="2">
        <v>104431.0</v>
      </c>
      <c r="H14" s="2" t="s">
        <v>296</v>
      </c>
      <c r="I14" s="2" t="s">
        <v>297</v>
      </c>
    </row>
    <row r="15" ht="22.5" customHeight="1">
      <c r="A15" s="2">
        <v>14.0</v>
      </c>
      <c r="B15" s="2" t="s">
        <v>295</v>
      </c>
      <c r="C15" s="2" t="s">
        <v>278</v>
      </c>
      <c r="D15" s="2">
        <v>30715.0</v>
      </c>
      <c r="E15" s="5">
        <v>46115.0</v>
      </c>
      <c r="F15" s="2" t="s">
        <v>279</v>
      </c>
      <c r="G15" s="2">
        <v>104431.0</v>
      </c>
      <c r="H15" s="2" t="s">
        <v>296</v>
      </c>
      <c r="I15" s="2" t="s">
        <v>297</v>
      </c>
    </row>
    <row r="16" ht="22.5" customHeight="1">
      <c r="A16" s="2">
        <v>15.0</v>
      </c>
      <c r="B16" s="2" t="s">
        <v>298</v>
      </c>
      <c r="C16" s="2" t="s">
        <v>276</v>
      </c>
      <c r="D16" s="2">
        <v>1419.0</v>
      </c>
      <c r="E16" s="5">
        <v>46057.0</v>
      </c>
      <c r="F16" s="5">
        <v>46115.0</v>
      </c>
      <c r="G16" s="8">
        <v>1482733.0</v>
      </c>
      <c r="H16" s="8">
        <v>1068123.0</v>
      </c>
      <c r="I16" s="8" t="s">
        <v>299</v>
      </c>
    </row>
    <row r="17" ht="22.5" customHeight="1">
      <c r="A17" s="2">
        <v>16.0</v>
      </c>
      <c r="B17" s="2" t="s">
        <v>298</v>
      </c>
      <c r="C17" s="2" t="s">
        <v>272</v>
      </c>
      <c r="D17" s="2">
        <v>2128.0</v>
      </c>
      <c r="E17" s="5">
        <v>46236.0</v>
      </c>
      <c r="F17" s="5">
        <v>46144.0</v>
      </c>
      <c r="G17" s="8">
        <v>1482246.0</v>
      </c>
      <c r="H17" s="7">
        <v>5320.0</v>
      </c>
      <c r="I17" s="2" t="s">
        <v>300</v>
      </c>
    </row>
    <row r="18" ht="22.5" customHeight="1">
      <c r="A18" s="2">
        <v>17.0</v>
      </c>
      <c r="B18" s="2" t="s">
        <v>298</v>
      </c>
      <c r="C18" s="2" t="s">
        <v>276</v>
      </c>
      <c r="D18" s="2">
        <v>1419.0</v>
      </c>
      <c r="E18" s="5">
        <v>46057.0</v>
      </c>
      <c r="F18" s="5">
        <v>46115.0</v>
      </c>
      <c r="G18" s="8">
        <v>1482733.0</v>
      </c>
      <c r="H18" s="8">
        <v>1068123.0</v>
      </c>
      <c r="I18" s="8" t="s">
        <v>299</v>
      </c>
    </row>
    <row r="19" ht="22.5" customHeight="1">
      <c r="A19" s="2">
        <v>18.0</v>
      </c>
      <c r="B19" s="2" t="s">
        <v>301</v>
      </c>
      <c r="C19" s="2" t="s">
        <v>276</v>
      </c>
      <c r="D19" s="2">
        <v>1772.0</v>
      </c>
      <c r="E19" s="5">
        <v>46057.0</v>
      </c>
      <c r="F19" s="5">
        <v>46115.0</v>
      </c>
      <c r="G19" s="8">
        <v>2024266.0</v>
      </c>
      <c r="H19" s="8">
        <v>1506475.0</v>
      </c>
      <c r="I19" s="8" t="s">
        <v>302</v>
      </c>
    </row>
    <row r="20" ht="22.5" customHeight="1">
      <c r="A20" s="2">
        <v>19.0</v>
      </c>
      <c r="B20" s="2" t="s">
        <v>303</v>
      </c>
      <c r="C20" s="2" t="s">
        <v>278</v>
      </c>
      <c r="D20" s="2">
        <v>1568.0</v>
      </c>
      <c r="E20" s="5">
        <v>46115.0</v>
      </c>
      <c r="F20" s="2" t="s">
        <v>279</v>
      </c>
      <c r="G20" s="8">
        <v>1253180.0</v>
      </c>
      <c r="H20" s="8">
        <v>938158.0</v>
      </c>
      <c r="I20" s="2" t="s">
        <v>304</v>
      </c>
    </row>
    <row r="21" ht="22.5" customHeight="1">
      <c r="A21" s="2">
        <v>20.0</v>
      </c>
      <c r="B21" s="2" t="s">
        <v>305</v>
      </c>
      <c r="C21" s="2" t="s">
        <v>270</v>
      </c>
      <c r="D21" s="2">
        <v>626.0</v>
      </c>
      <c r="E21" s="5">
        <v>46061.0</v>
      </c>
      <c r="F21" s="5">
        <v>46059.0</v>
      </c>
      <c r="G21" s="8">
        <v>1180862.0</v>
      </c>
      <c r="H21" s="8">
        <v>723579.0</v>
      </c>
      <c r="I21" s="2">
        <v>1252.0</v>
      </c>
    </row>
    <row r="22" ht="22.5" customHeight="1">
      <c r="A22" s="2">
        <v>21.0</v>
      </c>
      <c r="B22" s="2" t="s">
        <v>305</v>
      </c>
      <c r="C22" s="2" t="s">
        <v>278</v>
      </c>
      <c r="D22" s="2">
        <v>1511.0</v>
      </c>
      <c r="E22" s="5">
        <v>46115.0</v>
      </c>
      <c r="F22" s="2" t="s">
        <v>279</v>
      </c>
      <c r="G22" s="8">
        <v>1182382.0</v>
      </c>
      <c r="H22" s="2" t="s">
        <v>306</v>
      </c>
      <c r="I22" s="2" t="s">
        <v>307</v>
      </c>
    </row>
    <row r="23" ht="22.5" customHeight="1">
      <c r="A23" s="2">
        <v>22.0</v>
      </c>
      <c r="B23" s="2" t="s">
        <v>305</v>
      </c>
      <c r="C23" s="2" t="s">
        <v>278</v>
      </c>
      <c r="D23" s="2">
        <v>1510.0</v>
      </c>
      <c r="E23" s="5">
        <v>46115.0</v>
      </c>
      <c r="F23" s="2" t="s">
        <v>279</v>
      </c>
      <c r="G23" s="2">
        <v>5134.0</v>
      </c>
      <c r="H23" s="8">
        <v>877799.0</v>
      </c>
      <c r="I23" s="2" t="s">
        <v>308</v>
      </c>
    </row>
    <row r="24" ht="22.5" customHeight="1">
      <c r="A24" s="2">
        <v>23.0</v>
      </c>
      <c r="B24" s="2" t="s">
        <v>309</v>
      </c>
      <c r="C24" s="2" t="s">
        <v>287</v>
      </c>
      <c r="D24" s="2">
        <v>275.0</v>
      </c>
      <c r="E24" s="5">
        <v>46152.0</v>
      </c>
      <c r="F24" s="5">
        <v>46241.0</v>
      </c>
      <c r="G24" s="8">
        <v>360617.0</v>
      </c>
      <c r="H24" s="7">
        <v>2145.0</v>
      </c>
      <c r="I24" s="2" t="s">
        <v>310</v>
      </c>
    </row>
    <row r="25" ht="22.5" customHeight="1">
      <c r="A25" s="2">
        <v>24.0</v>
      </c>
      <c r="B25" s="2" t="s">
        <v>309</v>
      </c>
      <c r="C25" s="2" t="s">
        <v>311</v>
      </c>
      <c r="D25" s="2">
        <v>688.0</v>
      </c>
      <c r="E25" s="5">
        <v>46057.0</v>
      </c>
      <c r="F25" s="5">
        <v>46084.0</v>
      </c>
      <c r="G25" s="8">
        <v>361379.0</v>
      </c>
      <c r="H25" s="8">
        <v>135232.0</v>
      </c>
      <c r="I25" s="2" t="s">
        <v>312</v>
      </c>
    </row>
    <row r="26" ht="22.5" customHeight="1">
      <c r="A26" s="2">
        <v>25.0</v>
      </c>
      <c r="B26" s="2" t="s">
        <v>313</v>
      </c>
      <c r="C26" s="2" t="s">
        <v>272</v>
      </c>
      <c r="D26" s="2">
        <v>2696.0</v>
      </c>
      <c r="E26" s="5">
        <v>46236.0</v>
      </c>
      <c r="F26" s="5">
        <v>46144.0</v>
      </c>
      <c r="G26" s="8">
        <v>2063104.0</v>
      </c>
      <c r="H26" s="7">
        <v>6740.0</v>
      </c>
      <c r="I26" s="2" t="s">
        <v>314</v>
      </c>
    </row>
    <row r="27" ht="22.5" customHeight="1">
      <c r="A27" s="2">
        <v>26.0</v>
      </c>
      <c r="B27" s="2" t="s">
        <v>313</v>
      </c>
      <c r="C27" s="2" t="s">
        <v>276</v>
      </c>
      <c r="D27" s="2">
        <v>1798.0</v>
      </c>
      <c r="E27" s="5">
        <v>46057.0</v>
      </c>
      <c r="F27" s="5">
        <v>46115.0</v>
      </c>
      <c r="G27" s="8">
        <v>2064138.0</v>
      </c>
      <c r="H27" s="8">
        <v>1538800.0</v>
      </c>
      <c r="I27" s="8" t="s">
        <v>315</v>
      </c>
    </row>
    <row r="28" ht="22.5" customHeight="1">
      <c r="A28" s="2">
        <v>27.0</v>
      </c>
      <c r="B28" s="2" t="s">
        <v>316</v>
      </c>
      <c r="C28" s="2" t="s">
        <v>317</v>
      </c>
      <c r="D28" s="2">
        <v>1667.0</v>
      </c>
      <c r="E28" s="5">
        <v>46148.0</v>
      </c>
      <c r="F28" s="5">
        <v>46027.0</v>
      </c>
      <c r="G28" s="2" t="s">
        <v>318</v>
      </c>
      <c r="H28" s="8">
        <v>2411149.0</v>
      </c>
      <c r="I28" s="8">
        <v>158364.0</v>
      </c>
    </row>
    <row r="29" ht="22.5" customHeight="1">
      <c r="A29" s="2">
        <v>28.0</v>
      </c>
      <c r="B29" s="2" t="s">
        <v>319</v>
      </c>
      <c r="C29" s="2" t="s">
        <v>272</v>
      </c>
      <c r="D29" s="2">
        <v>681.0</v>
      </c>
      <c r="E29" s="5">
        <v>46236.0</v>
      </c>
      <c r="F29" s="5">
        <v>46144.0</v>
      </c>
      <c r="G29" s="8">
        <v>2405.0</v>
      </c>
      <c r="H29" s="8" t="s">
        <v>320</v>
      </c>
      <c r="I29" s="2" t="s">
        <v>321</v>
      </c>
    </row>
    <row r="30" ht="22.5" customHeight="1">
      <c r="A30" s="2">
        <v>29.0</v>
      </c>
      <c r="B30" s="2" t="s">
        <v>322</v>
      </c>
      <c r="C30" s="2" t="s">
        <v>278</v>
      </c>
      <c r="D30" s="2">
        <v>34272.0</v>
      </c>
      <c r="E30" s="5">
        <v>46115.0</v>
      </c>
      <c r="F30" s="2" t="s">
        <v>279</v>
      </c>
      <c r="G30" s="2" t="s">
        <v>323</v>
      </c>
      <c r="H30" s="2" t="s">
        <v>324</v>
      </c>
      <c r="I30" s="2" t="s">
        <v>325</v>
      </c>
    </row>
    <row r="31" ht="22.5" customHeight="1">
      <c r="A31" s="2">
        <v>30.0</v>
      </c>
      <c r="B31" s="2" t="s">
        <v>326</v>
      </c>
      <c r="C31" s="2" t="s">
        <v>317</v>
      </c>
      <c r="D31" s="2">
        <v>583.0</v>
      </c>
      <c r="E31" s="5">
        <v>46148.0</v>
      </c>
      <c r="F31" s="5">
        <v>46027.0</v>
      </c>
      <c r="G31" s="8">
        <v>690066.0</v>
      </c>
      <c r="H31" s="8">
        <v>391967.0</v>
      </c>
      <c r="I31" s="2" t="s">
        <v>327</v>
      </c>
    </row>
    <row r="32" ht="22.5" customHeight="1">
      <c r="A32" s="2">
        <v>31.0</v>
      </c>
      <c r="B32" s="2" t="s">
        <v>326</v>
      </c>
      <c r="C32" s="2" t="s">
        <v>272</v>
      </c>
      <c r="D32" s="2">
        <v>1352.0</v>
      </c>
      <c r="E32" s="5">
        <v>46236.0</v>
      </c>
      <c r="F32" s="5">
        <v>46144.0</v>
      </c>
      <c r="G32" s="8">
        <v>688636.0</v>
      </c>
      <c r="H32" s="7">
        <v>3380.0</v>
      </c>
      <c r="I32" s="2" t="s">
        <v>328</v>
      </c>
    </row>
    <row r="33" ht="22.5" customHeight="1">
      <c r="A33" s="2">
        <v>32.0</v>
      </c>
      <c r="B33" s="2" t="s">
        <v>329</v>
      </c>
      <c r="C33" s="2" t="s">
        <v>272</v>
      </c>
      <c r="D33" s="2">
        <v>24102.0</v>
      </c>
      <c r="E33" s="5">
        <v>46236.0</v>
      </c>
      <c r="F33" s="5">
        <v>46144.0</v>
      </c>
      <c r="G33" s="2" t="s">
        <v>330</v>
      </c>
      <c r="H33" s="7">
        <v>60255.0</v>
      </c>
      <c r="I33" s="8">
        <v>1946896.0</v>
      </c>
    </row>
    <row r="34" ht="22.5" customHeight="1">
      <c r="A34" s="2">
        <v>33.0</v>
      </c>
      <c r="B34" s="2" t="s">
        <v>331</v>
      </c>
      <c r="C34" s="2" t="s">
        <v>317</v>
      </c>
      <c r="D34" s="2">
        <v>242.0</v>
      </c>
      <c r="E34" s="5">
        <v>46148.0</v>
      </c>
      <c r="F34" s="5">
        <v>46027.0</v>
      </c>
      <c r="G34" s="2">
        <v>1573.0</v>
      </c>
      <c r="H34" s="8" t="s">
        <v>332</v>
      </c>
      <c r="I34" s="2" t="s">
        <v>333</v>
      </c>
    </row>
    <row r="35" ht="22.5" customHeight="1">
      <c r="A35" s="2">
        <v>34.0</v>
      </c>
      <c r="B35" s="2" t="s">
        <v>331</v>
      </c>
      <c r="C35" s="2" t="s">
        <v>276</v>
      </c>
      <c r="D35" s="2">
        <v>374.0</v>
      </c>
      <c r="E35" s="5">
        <v>46057.0</v>
      </c>
      <c r="F35" s="5">
        <v>46115.0</v>
      </c>
      <c r="G35" s="8" t="s">
        <v>334</v>
      </c>
      <c r="H35" s="8" t="s">
        <v>335</v>
      </c>
      <c r="I35" s="2" t="s">
        <v>336</v>
      </c>
    </row>
    <row r="36" ht="22.5" customHeight="1">
      <c r="A36" s="2">
        <v>35.0</v>
      </c>
      <c r="B36" s="2" t="s">
        <v>331</v>
      </c>
      <c r="C36" s="2" t="s">
        <v>317</v>
      </c>
      <c r="D36" s="2">
        <v>241.0</v>
      </c>
      <c r="E36" s="5">
        <v>46148.0</v>
      </c>
      <c r="F36" s="5">
        <v>46027.0</v>
      </c>
      <c r="G36" s="8" t="s">
        <v>337</v>
      </c>
      <c r="H36" s="8" t="s">
        <v>338</v>
      </c>
      <c r="I36" s="2" t="s">
        <v>339</v>
      </c>
    </row>
    <row r="37" ht="22.5" customHeight="1">
      <c r="A37" s="2">
        <v>36.0</v>
      </c>
      <c r="B37" s="2" t="s">
        <v>340</v>
      </c>
      <c r="C37" s="2" t="s">
        <v>291</v>
      </c>
      <c r="D37" s="2">
        <v>2295.0</v>
      </c>
      <c r="E37" s="5">
        <v>46240.0</v>
      </c>
      <c r="F37" s="5">
        <v>46027.0</v>
      </c>
      <c r="G37" s="2">
        <v>15606.0</v>
      </c>
      <c r="H37" s="2" t="s">
        <v>341</v>
      </c>
      <c r="I37" s="8">
        <v>730972.0</v>
      </c>
    </row>
    <row r="38" ht="22.5" customHeight="1">
      <c r="A38" s="2">
        <v>37.0</v>
      </c>
      <c r="B38" s="2" t="s">
        <v>340</v>
      </c>
      <c r="C38" s="2" t="s">
        <v>311</v>
      </c>
      <c r="D38" s="2">
        <v>3715.0</v>
      </c>
      <c r="E38" s="5">
        <v>46057.0</v>
      </c>
      <c r="F38" s="5">
        <v>46084.0</v>
      </c>
      <c r="G38" s="2">
        <v>15603.0</v>
      </c>
      <c r="H38" s="2" t="s">
        <v>342</v>
      </c>
      <c r="I38" s="8">
        <v>527167.0</v>
      </c>
    </row>
    <row r="39" ht="22.5" customHeight="1">
      <c r="A39" s="2">
        <v>38.0</v>
      </c>
      <c r="B39" s="2" t="s">
        <v>343</v>
      </c>
      <c r="C39" s="2" t="s">
        <v>276</v>
      </c>
      <c r="D39" s="2">
        <v>405.0</v>
      </c>
      <c r="E39" s="5">
        <v>46057.0</v>
      </c>
      <c r="F39" s="5">
        <v>46115.0</v>
      </c>
      <c r="G39" s="2">
        <v>1701.0</v>
      </c>
      <c r="H39" s="7">
        <v>1377.0</v>
      </c>
      <c r="I39" s="2">
        <v>324.0</v>
      </c>
    </row>
    <row r="40" ht="22.5" customHeight="1">
      <c r="A40" s="2">
        <v>39.0</v>
      </c>
      <c r="B40" s="2" t="s">
        <v>343</v>
      </c>
      <c r="C40" s="2" t="s">
        <v>317</v>
      </c>
      <c r="D40" s="2">
        <v>262.0</v>
      </c>
      <c r="E40" s="5">
        <v>46148.0</v>
      </c>
      <c r="F40" s="5">
        <v>46027.0</v>
      </c>
      <c r="G40" s="2">
        <v>1703.0</v>
      </c>
      <c r="H40" s="8" t="s">
        <v>344</v>
      </c>
      <c r="I40" s="2" t="s">
        <v>345</v>
      </c>
    </row>
    <row r="41" ht="22.5" customHeight="1">
      <c r="A41" s="2">
        <v>40.0</v>
      </c>
      <c r="B41" s="2" t="s">
        <v>346</v>
      </c>
      <c r="C41" s="2" t="s">
        <v>311</v>
      </c>
      <c r="D41" s="2">
        <v>13347.0</v>
      </c>
      <c r="E41" s="5">
        <v>46057.0</v>
      </c>
      <c r="F41" s="5">
        <v>46084.0</v>
      </c>
      <c r="G41" s="2" t="s">
        <v>347</v>
      </c>
      <c r="H41" s="2" t="s">
        <v>348</v>
      </c>
      <c r="I41" s="2" t="s">
        <v>349</v>
      </c>
    </row>
    <row r="42" ht="22.5" customHeight="1">
      <c r="A42" s="2">
        <v>41.0</v>
      </c>
      <c r="B42" s="2" t="s">
        <v>346</v>
      </c>
      <c r="C42" s="2" t="s">
        <v>311</v>
      </c>
      <c r="D42" s="2">
        <v>13347.0</v>
      </c>
      <c r="E42" s="5">
        <v>46057.0</v>
      </c>
      <c r="F42" s="5">
        <v>46084.0</v>
      </c>
      <c r="G42" s="2" t="s">
        <v>347</v>
      </c>
      <c r="H42" s="2" t="s">
        <v>348</v>
      </c>
      <c r="I42" s="2" t="s">
        <v>349</v>
      </c>
    </row>
    <row r="43" ht="22.5" customHeight="1">
      <c r="A43" s="2">
        <v>42.0</v>
      </c>
      <c r="B43" s="2" t="s">
        <v>346</v>
      </c>
      <c r="C43" s="2" t="s">
        <v>291</v>
      </c>
      <c r="D43" s="2">
        <v>8243.0</v>
      </c>
      <c r="E43" s="5">
        <v>46240.0</v>
      </c>
      <c r="F43" s="5">
        <v>46027.0</v>
      </c>
      <c r="G43" s="2" t="s">
        <v>350</v>
      </c>
      <c r="H43" s="2" t="s">
        <v>351</v>
      </c>
      <c r="I43" s="2" t="s">
        <v>352</v>
      </c>
    </row>
    <row r="44" ht="22.5" customHeight="1">
      <c r="A44" s="2">
        <v>43.0</v>
      </c>
      <c r="B44" s="2" t="s">
        <v>353</v>
      </c>
      <c r="C44" s="2" t="s">
        <v>272</v>
      </c>
      <c r="D44" s="2">
        <v>669.0</v>
      </c>
      <c r="E44" s="5">
        <v>46236.0</v>
      </c>
      <c r="F44" s="5">
        <v>46144.0</v>
      </c>
      <c r="G44" s="8" t="s">
        <v>354</v>
      </c>
      <c r="H44" s="8" t="s">
        <v>355</v>
      </c>
      <c r="I44" s="2" t="s">
        <v>356</v>
      </c>
    </row>
    <row r="45" ht="22.5" customHeight="1">
      <c r="A45" s="2">
        <v>44.0</v>
      </c>
      <c r="B45" s="2" t="s">
        <v>353</v>
      </c>
      <c r="C45" s="2" t="s">
        <v>276</v>
      </c>
      <c r="D45" s="2">
        <v>446.0</v>
      </c>
      <c r="E45" s="5">
        <v>46057.0</v>
      </c>
      <c r="F45" s="5">
        <v>46115.0</v>
      </c>
      <c r="G45" s="8" t="s">
        <v>354</v>
      </c>
      <c r="H45" s="8" t="s">
        <v>357</v>
      </c>
      <c r="I45" s="2" t="s">
        <v>358</v>
      </c>
    </row>
    <row r="46" ht="22.5" customHeight="1">
      <c r="A46" s="2">
        <v>45.0</v>
      </c>
      <c r="B46" s="2" t="s">
        <v>353</v>
      </c>
      <c r="C46" s="2" t="s">
        <v>272</v>
      </c>
      <c r="D46" s="2">
        <v>670.0</v>
      </c>
      <c r="E46" s="5">
        <v>46236.0</v>
      </c>
      <c r="F46" s="5">
        <v>46144.0</v>
      </c>
      <c r="G46" s="2">
        <v>1876.0</v>
      </c>
      <c r="H46" s="7">
        <v>1675.0</v>
      </c>
      <c r="I46" s="2">
        <v>201.0</v>
      </c>
    </row>
    <row r="47" ht="22.5" customHeight="1">
      <c r="A47" s="2">
        <v>46.0</v>
      </c>
      <c r="B47" s="2" t="s">
        <v>359</v>
      </c>
      <c r="C47" s="2" t="s">
        <v>311</v>
      </c>
      <c r="D47" s="2">
        <v>7006.0</v>
      </c>
      <c r="E47" s="5">
        <v>46057.0</v>
      </c>
      <c r="F47" s="5">
        <v>46084.0</v>
      </c>
      <c r="G47" s="2" t="s">
        <v>360</v>
      </c>
      <c r="H47" s="2" t="s">
        <v>361</v>
      </c>
      <c r="I47" s="8">
        <v>1608985.0</v>
      </c>
    </row>
    <row r="48" ht="22.5" customHeight="1">
      <c r="A48" s="2">
        <v>47.0</v>
      </c>
      <c r="B48" s="2" t="s">
        <v>362</v>
      </c>
      <c r="C48" s="2" t="s">
        <v>317</v>
      </c>
      <c r="D48" s="2">
        <v>802.0</v>
      </c>
      <c r="E48" s="5">
        <v>46148.0</v>
      </c>
      <c r="F48" s="5">
        <v>46027.0</v>
      </c>
      <c r="G48" s="2">
        <v>5213.0</v>
      </c>
      <c r="H48" s="8">
        <v>799915.0</v>
      </c>
      <c r="I48" s="8" t="s">
        <v>363</v>
      </c>
    </row>
    <row r="49" ht="22.5" customHeight="1">
      <c r="A49" s="2">
        <v>48.0</v>
      </c>
      <c r="B49" s="2" t="s">
        <v>362</v>
      </c>
      <c r="C49" s="2" t="s">
        <v>276</v>
      </c>
      <c r="D49" s="2">
        <v>1240.0</v>
      </c>
      <c r="E49" s="5">
        <v>46057.0</v>
      </c>
      <c r="F49" s="5">
        <v>46115.0</v>
      </c>
      <c r="G49" s="2">
        <v>5208.0</v>
      </c>
      <c r="H49" s="7">
        <v>4216.0</v>
      </c>
      <c r="I49" s="2">
        <v>992.0</v>
      </c>
    </row>
    <row r="50" ht="22.5" customHeight="1">
      <c r="A50" s="2">
        <v>49.0</v>
      </c>
      <c r="B50" s="2" t="s">
        <v>364</v>
      </c>
      <c r="C50" s="2" t="s">
        <v>276</v>
      </c>
      <c r="D50" s="2">
        <v>528.0</v>
      </c>
      <c r="E50" s="5">
        <v>46057.0</v>
      </c>
      <c r="F50" s="5">
        <v>46115.0</v>
      </c>
      <c r="G50" s="8">
        <v>115935.0</v>
      </c>
      <c r="H50" s="8" t="s">
        <v>365</v>
      </c>
      <c r="I50" s="2" t="s">
        <v>366</v>
      </c>
    </row>
    <row r="51" ht="22.5" customHeight="1">
      <c r="A51" s="2">
        <v>50.0</v>
      </c>
      <c r="B51" s="2" t="s">
        <v>364</v>
      </c>
      <c r="C51" s="2" t="s">
        <v>272</v>
      </c>
      <c r="D51" s="2">
        <v>791.0</v>
      </c>
      <c r="E51" s="5">
        <v>46236.0</v>
      </c>
      <c r="F51" s="5">
        <v>46144.0</v>
      </c>
      <c r="G51" s="8">
        <v>114900.0</v>
      </c>
      <c r="H51" s="8">
        <v>28246.0</v>
      </c>
      <c r="I51" s="2" t="s">
        <v>367</v>
      </c>
    </row>
    <row r="52" ht="22.5" customHeight="1">
      <c r="A52" s="2">
        <v>51.0</v>
      </c>
      <c r="B52" s="2" t="s">
        <v>368</v>
      </c>
      <c r="C52" s="2" t="s">
        <v>317</v>
      </c>
      <c r="D52" s="2">
        <v>730.0</v>
      </c>
      <c r="E52" s="5">
        <v>46148.0</v>
      </c>
      <c r="F52" s="5">
        <v>46027.0</v>
      </c>
      <c r="G52" s="2">
        <v>4745.0</v>
      </c>
      <c r="H52" s="7">
        <v>3723.0</v>
      </c>
      <c r="I52" s="2">
        <v>1022.0</v>
      </c>
    </row>
    <row r="53" ht="22.5" customHeight="1">
      <c r="A53" s="2">
        <v>52.0</v>
      </c>
      <c r="B53" s="2" t="s">
        <v>368</v>
      </c>
      <c r="C53" s="2" t="s">
        <v>317</v>
      </c>
      <c r="D53" s="2">
        <v>730.0</v>
      </c>
      <c r="E53" s="5">
        <v>46148.0</v>
      </c>
      <c r="F53" s="5">
        <v>46027.0</v>
      </c>
      <c r="G53" s="2">
        <v>4745.0</v>
      </c>
      <c r="H53" s="7">
        <v>3723.0</v>
      </c>
      <c r="I53" s="2">
        <v>1022.0</v>
      </c>
    </row>
    <row r="54" ht="22.5" customHeight="1">
      <c r="A54" s="2">
        <v>53.0</v>
      </c>
      <c r="B54" s="2" t="s">
        <v>369</v>
      </c>
      <c r="C54" s="2" t="s">
        <v>311</v>
      </c>
      <c r="D54" s="2">
        <v>940.0</v>
      </c>
      <c r="E54" s="5">
        <v>46057.0</v>
      </c>
      <c r="F54" s="5">
        <v>46084.0</v>
      </c>
      <c r="G54" s="2">
        <v>3948.0</v>
      </c>
      <c r="H54" s="7">
        <v>3102.0</v>
      </c>
      <c r="I54" s="2">
        <v>846.0</v>
      </c>
    </row>
    <row r="55" ht="22.5" customHeight="1">
      <c r="A55" s="2">
        <v>54.0</v>
      </c>
      <c r="B55" s="2" t="s">
        <v>370</v>
      </c>
      <c r="C55" s="2" t="s">
        <v>269</v>
      </c>
      <c r="D55" s="2">
        <v>15543.0</v>
      </c>
      <c r="E55" s="5">
        <v>46058.0</v>
      </c>
      <c r="F55" s="6">
        <v>46146.0</v>
      </c>
      <c r="G55" s="2" t="s">
        <v>371</v>
      </c>
      <c r="H55" s="2" t="s">
        <v>372</v>
      </c>
      <c r="I55" s="2" t="s">
        <v>373</v>
      </c>
    </row>
    <row r="56" ht="22.5" customHeight="1">
      <c r="A56" s="2">
        <v>55.0</v>
      </c>
      <c r="B56" s="2" t="s">
        <v>370</v>
      </c>
      <c r="C56" s="2" t="s">
        <v>269</v>
      </c>
      <c r="D56" s="2">
        <v>15543.0</v>
      </c>
      <c r="E56" s="5">
        <v>46058.0</v>
      </c>
      <c r="F56" s="6">
        <v>46146.0</v>
      </c>
      <c r="G56" s="2" t="s">
        <v>371</v>
      </c>
      <c r="H56" s="2" t="s">
        <v>372</v>
      </c>
      <c r="I56" s="2" t="s">
        <v>373</v>
      </c>
    </row>
    <row r="57" ht="22.5" customHeight="1">
      <c r="A57" s="2">
        <v>56.0</v>
      </c>
      <c r="B57" s="2" t="s">
        <v>370</v>
      </c>
      <c r="C57" s="2" t="s">
        <v>270</v>
      </c>
      <c r="D57" s="2">
        <v>9857.0</v>
      </c>
      <c r="E57" s="5">
        <v>46061.0</v>
      </c>
      <c r="F57" s="5">
        <v>46059.0</v>
      </c>
      <c r="G57" s="2" t="s">
        <v>374</v>
      </c>
      <c r="H57" s="2" t="s">
        <v>375</v>
      </c>
      <c r="I57" s="2">
        <v>19714.0</v>
      </c>
    </row>
    <row r="58" ht="22.5" customHeight="1">
      <c r="A58" s="2">
        <v>57.0</v>
      </c>
      <c r="B58" s="2" t="s">
        <v>376</v>
      </c>
      <c r="C58" s="2" t="s">
        <v>276</v>
      </c>
      <c r="D58" s="2">
        <v>12942.0</v>
      </c>
      <c r="E58" s="5">
        <v>46057.0</v>
      </c>
      <c r="F58" s="5">
        <v>46115.0</v>
      </c>
      <c r="G58" s="2" t="s">
        <v>377</v>
      </c>
      <c r="H58" s="2" t="s">
        <v>378</v>
      </c>
      <c r="I58" s="2" t="s">
        <v>379</v>
      </c>
    </row>
    <row r="59" ht="22.5" customHeight="1">
      <c r="A59" s="2">
        <v>58.0</v>
      </c>
      <c r="B59" s="2" t="s">
        <v>376</v>
      </c>
      <c r="C59" s="2" t="s">
        <v>317</v>
      </c>
      <c r="D59" s="2">
        <v>8363.0</v>
      </c>
      <c r="E59" s="5">
        <v>46148.0</v>
      </c>
      <c r="F59" s="5">
        <v>46027.0</v>
      </c>
      <c r="G59" s="2" t="s">
        <v>380</v>
      </c>
      <c r="H59" s="2" t="s">
        <v>381</v>
      </c>
      <c r="I59" s="2" t="s">
        <v>382</v>
      </c>
    </row>
    <row r="60" ht="22.5" customHeight="1">
      <c r="A60" s="2">
        <v>59.0</v>
      </c>
      <c r="B60" s="2" t="s">
        <v>383</v>
      </c>
      <c r="C60" s="2" t="s">
        <v>276</v>
      </c>
      <c r="D60" s="2">
        <v>1567.0</v>
      </c>
      <c r="E60" s="5">
        <v>46057.0</v>
      </c>
      <c r="F60" s="5">
        <v>46115.0</v>
      </c>
      <c r="G60" s="8">
        <v>1709793.0</v>
      </c>
      <c r="H60" s="8">
        <v>1251900.0</v>
      </c>
      <c r="I60" s="8" t="s">
        <v>384</v>
      </c>
    </row>
    <row r="61" ht="22.5" customHeight="1">
      <c r="A61" s="2">
        <v>60.0</v>
      </c>
      <c r="B61" s="2" t="s">
        <v>383</v>
      </c>
      <c r="C61" s="2" t="s">
        <v>276</v>
      </c>
      <c r="D61" s="2">
        <v>1567.0</v>
      </c>
      <c r="E61" s="5">
        <v>46057.0</v>
      </c>
      <c r="F61" s="5">
        <v>46115.0</v>
      </c>
      <c r="G61" s="8">
        <v>1709793.0</v>
      </c>
      <c r="H61" s="8">
        <v>1251900.0</v>
      </c>
      <c r="I61" s="8" t="s">
        <v>384</v>
      </c>
    </row>
    <row r="62" ht="22.5" customHeight="1">
      <c r="A62" s="2">
        <v>61.0</v>
      </c>
      <c r="B62" s="2" t="s">
        <v>385</v>
      </c>
      <c r="C62" s="2" t="s">
        <v>276</v>
      </c>
      <c r="D62" s="2">
        <v>818.0</v>
      </c>
      <c r="E62" s="5">
        <v>46057.0</v>
      </c>
      <c r="F62" s="5">
        <v>46115.0</v>
      </c>
      <c r="G62" s="8">
        <v>560800.0</v>
      </c>
      <c r="H62" s="8">
        <v>321812.0</v>
      </c>
      <c r="I62" s="2" t="s">
        <v>386</v>
      </c>
    </row>
    <row r="63" ht="22.5" customHeight="1">
      <c r="A63" s="2">
        <v>62.0</v>
      </c>
      <c r="B63" s="2" t="s">
        <v>385</v>
      </c>
      <c r="C63" s="2" t="s">
        <v>272</v>
      </c>
      <c r="D63" s="2">
        <v>1226.0</v>
      </c>
      <c r="E63" s="5">
        <v>46236.0</v>
      </c>
      <c r="F63" s="5">
        <v>46144.0</v>
      </c>
      <c r="G63" s="8">
        <v>559766.0</v>
      </c>
      <c r="H63" s="7">
        <v>3065.0</v>
      </c>
      <c r="I63" s="2" t="s">
        <v>387</v>
      </c>
    </row>
    <row r="64" ht="22.5" customHeight="1">
      <c r="A64" s="2">
        <v>63.0</v>
      </c>
      <c r="B64" s="2" t="s">
        <v>388</v>
      </c>
      <c r="C64" s="2" t="s">
        <v>272</v>
      </c>
      <c r="D64" s="2">
        <v>1055.0</v>
      </c>
      <c r="E64" s="5">
        <v>46236.0</v>
      </c>
      <c r="F64" s="5">
        <v>46144.0</v>
      </c>
      <c r="G64" s="2">
        <v>2954.0</v>
      </c>
      <c r="H64" s="8">
        <v>269306.0</v>
      </c>
      <c r="I64" s="2" t="s">
        <v>389</v>
      </c>
    </row>
    <row r="65" ht="22.5" customHeight="1">
      <c r="A65" s="2">
        <v>64.0</v>
      </c>
      <c r="B65" s="2" t="s">
        <v>390</v>
      </c>
      <c r="C65" s="2" t="s">
        <v>276</v>
      </c>
      <c r="D65" s="2">
        <v>4889.0</v>
      </c>
      <c r="E65" s="5">
        <v>46057.0</v>
      </c>
      <c r="F65" s="5">
        <v>46115.0</v>
      </c>
      <c r="G65" s="2" t="s">
        <v>391</v>
      </c>
      <c r="H65" s="2" t="s">
        <v>392</v>
      </c>
      <c r="I65" s="8">
        <v>734535.0</v>
      </c>
    </row>
    <row r="66" ht="22.5" customHeight="1">
      <c r="A66" s="2">
        <v>65.0</v>
      </c>
      <c r="B66" s="2" t="s">
        <v>390</v>
      </c>
      <c r="C66" s="2" t="s">
        <v>276</v>
      </c>
      <c r="D66" s="2">
        <v>4889.0</v>
      </c>
      <c r="E66" s="5">
        <v>46057.0</v>
      </c>
      <c r="F66" s="5">
        <v>46115.0</v>
      </c>
      <c r="G66" s="2" t="s">
        <v>391</v>
      </c>
      <c r="H66" s="2" t="s">
        <v>392</v>
      </c>
      <c r="I66" s="8">
        <v>734535.0</v>
      </c>
    </row>
    <row r="67" ht="22.5" customHeight="1">
      <c r="A67" s="2">
        <v>66.0</v>
      </c>
      <c r="B67" s="2" t="s">
        <v>390</v>
      </c>
      <c r="C67" s="2" t="s">
        <v>272</v>
      </c>
      <c r="D67" s="2">
        <v>7334.0</v>
      </c>
      <c r="E67" s="5">
        <v>46236.0</v>
      </c>
      <c r="F67" s="5">
        <v>46144.0</v>
      </c>
      <c r="G67" s="2" t="s">
        <v>393</v>
      </c>
      <c r="H67" s="7">
        <v>18335.0</v>
      </c>
      <c r="I67" s="8">
        <v>109606.0</v>
      </c>
    </row>
    <row r="68" ht="22.5" customHeight="1">
      <c r="A68" s="2">
        <v>67.0</v>
      </c>
      <c r="B68" s="2" t="s">
        <v>394</v>
      </c>
      <c r="C68" s="2" t="s">
        <v>276</v>
      </c>
      <c r="D68" s="2">
        <v>2087.0</v>
      </c>
      <c r="E68" s="5">
        <v>46057.0</v>
      </c>
      <c r="F68" s="5">
        <v>46115.0</v>
      </c>
      <c r="G68" s="8">
        <v>2507482.0</v>
      </c>
      <c r="H68" s="8">
        <v>1897649.0</v>
      </c>
      <c r="I68" s="8" t="s">
        <v>395</v>
      </c>
    </row>
    <row r="69" ht="22.5" customHeight="1">
      <c r="A69" s="2">
        <v>68.0</v>
      </c>
      <c r="B69" s="2" t="s">
        <v>396</v>
      </c>
      <c r="C69" s="2" t="s">
        <v>276</v>
      </c>
      <c r="D69" s="2">
        <v>896.0</v>
      </c>
      <c r="E69" s="5">
        <v>46057.0</v>
      </c>
      <c r="F69" s="5">
        <v>46115.0</v>
      </c>
      <c r="G69" s="8">
        <v>680480.0</v>
      </c>
      <c r="H69" s="8">
        <v>418660.0</v>
      </c>
      <c r="I69" s="2" t="s">
        <v>397</v>
      </c>
    </row>
    <row r="70" ht="22.5" customHeight="1">
      <c r="A70" s="2">
        <v>69.0</v>
      </c>
      <c r="B70" s="2" t="s">
        <v>396</v>
      </c>
      <c r="C70" s="2" t="s">
        <v>276</v>
      </c>
      <c r="D70" s="2">
        <v>896.0</v>
      </c>
      <c r="E70" s="5">
        <v>46057.0</v>
      </c>
      <c r="F70" s="5">
        <v>46115.0</v>
      </c>
      <c r="G70" s="8">
        <v>680480.0</v>
      </c>
      <c r="H70" s="8">
        <v>418660.0</v>
      </c>
      <c r="I70" s="2" t="s">
        <v>397</v>
      </c>
    </row>
    <row r="71" ht="22.5" customHeight="1">
      <c r="A71" s="2">
        <v>70.0</v>
      </c>
      <c r="B71" s="2" t="s">
        <v>396</v>
      </c>
      <c r="C71" s="2" t="s">
        <v>317</v>
      </c>
      <c r="D71" s="2">
        <v>579.0</v>
      </c>
      <c r="E71" s="5">
        <v>46148.0</v>
      </c>
      <c r="F71" s="5">
        <v>46027.0</v>
      </c>
      <c r="G71" s="8">
        <v>680569.0</v>
      </c>
      <c r="H71" s="8">
        <v>384481.0</v>
      </c>
      <c r="I71" s="2" t="s">
        <v>398</v>
      </c>
    </row>
    <row r="72" ht="22.5" customHeight="1">
      <c r="A72" s="2">
        <v>71.0</v>
      </c>
      <c r="B72" s="2" t="s">
        <v>399</v>
      </c>
      <c r="C72" s="2" t="s">
        <v>276</v>
      </c>
      <c r="D72" s="2">
        <v>2769.0</v>
      </c>
      <c r="E72" s="5">
        <v>46057.0</v>
      </c>
      <c r="F72" s="5">
        <v>46115.0</v>
      </c>
      <c r="G72" s="2" t="s">
        <v>400</v>
      </c>
      <c r="H72" s="8">
        <v>2744585.0</v>
      </c>
      <c r="I72" s="8">
        <v>115084.0</v>
      </c>
    </row>
    <row r="73" ht="22.5" customHeight="1">
      <c r="A73" s="2">
        <v>72.0</v>
      </c>
      <c r="B73" s="2" t="s">
        <v>401</v>
      </c>
      <c r="C73" s="2" t="s">
        <v>272</v>
      </c>
      <c r="D73" s="2">
        <v>581.0</v>
      </c>
      <c r="E73" s="5">
        <v>46236.0</v>
      </c>
      <c r="F73" s="5">
        <v>46144.0</v>
      </c>
      <c r="G73" s="8" t="s">
        <v>402</v>
      </c>
      <c r="H73" s="8" t="s">
        <v>403</v>
      </c>
      <c r="I73" s="2" t="s">
        <v>404</v>
      </c>
    </row>
    <row r="74" ht="22.5" customHeight="1">
      <c r="A74" s="2">
        <v>73.0</v>
      </c>
      <c r="B74" s="2" t="s">
        <v>401</v>
      </c>
      <c r="C74" s="2" t="s">
        <v>272</v>
      </c>
      <c r="D74" s="2">
        <v>581.0</v>
      </c>
      <c r="E74" s="5">
        <v>46236.0</v>
      </c>
      <c r="F74" s="5">
        <v>46144.0</v>
      </c>
      <c r="G74" s="8" t="s">
        <v>402</v>
      </c>
      <c r="H74" s="8" t="s">
        <v>403</v>
      </c>
      <c r="I74" s="2" t="s">
        <v>404</v>
      </c>
    </row>
    <row r="75" ht="22.5" customHeight="1">
      <c r="A75" s="2">
        <v>74.0</v>
      </c>
      <c r="B75" s="2" t="s">
        <v>401</v>
      </c>
      <c r="C75" s="2" t="s">
        <v>317</v>
      </c>
      <c r="D75" s="2">
        <v>251.0</v>
      </c>
      <c r="E75" s="5">
        <v>46148.0</v>
      </c>
      <c r="F75" s="5">
        <v>46027.0</v>
      </c>
      <c r="G75" s="8" t="s">
        <v>405</v>
      </c>
      <c r="H75" s="8" t="s">
        <v>406</v>
      </c>
      <c r="I75" s="2" t="s">
        <v>407</v>
      </c>
    </row>
    <row r="76" ht="22.5" customHeight="1">
      <c r="A76" s="2">
        <v>75.0</v>
      </c>
      <c r="B76" s="2" t="s">
        <v>408</v>
      </c>
      <c r="C76" s="2" t="s">
        <v>317</v>
      </c>
      <c r="D76" s="2">
        <v>392.0</v>
      </c>
      <c r="E76" s="5">
        <v>46148.0</v>
      </c>
      <c r="F76" s="5">
        <v>46027.0</v>
      </c>
      <c r="G76" s="2">
        <v>2548.0</v>
      </c>
      <c r="H76" s="8">
        <v>36192.0</v>
      </c>
      <c r="I76" s="2" t="s">
        <v>409</v>
      </c>
    </row>
    <row r="77" ht="22.5" customHeight="1">
      <c r="A77" s="2">
        <v>76.0</v>
      </c>
      <c r="B77" s="2" t="s">
        <v>410</v>
      </c>
      <c r="C77" s="2" t="s">
        <v>272</v>
      </c>
      <c r="D77" s="2">
        <v>939.0</v>
      </c>
      <c r="E77" s="5">
        <v>46236.0</v>
      </c>
      <c r="F77" s="5">
        <v>46144.0</v>
      </c>
      <c r="G77" s="8">
        <v>266295.0</v>
      </c>
      <c r="H77" s="8">
        <v>163385.0</v>
      </c>
      <c r="I77" s="2" t="s">
        <v>411</v>
      </c>
    </row>
    <row r="78" ht="22.5" customHeight="1">
      <c r="A78" s="2">
        <v>77.0</v>
      </c>
      <c r="B78" s="2" t="s">
        <v>412</v>
      </c>
      <c r="C78" s="2" t="s">
        <v>317</v>
      </c>
      <c r="D78" s="2">
        <v>645.0</v>
      </c>
      <c r="E78" s="5">
        <v>46148.0</v>
      </c>
      <c r="F78" s="5">
        <v>46027.0</v>
      </c>
      <c r="G78" s="8">
        <v>837259.0</v>
      </c>
      <c r="H78" s="8">
        <v>507445.0</v>
      </c>
      <c r="I78" s="2">
        <v>903.0</v>
      </c>
    </row>
    <row r="79" ht="22.5" customHeight="1">
      <c r="A79" s="2">
        <v>78.0</v>
      </c>
      <c r="B79" s="2" t="s">
        <v>412</v>
      </c>
      <c r="C79" s="2" t="s">
        <v>276</v>
      </c>
      <c r="D79" s="2">
        <v>998.0</v>
      </c>
      <c r="E79" s="5">
        <v>46057.0</v>
      </c>
      <c r="F79" s="5">
        <v>46115.0</v>
      </c>
      <c r="G79" s="8">
        <v>836924.0</v>
      </c>
      <c r="H79" s="8">
        <v>545341.0</v>
      </c>
      <c r="I79" s="2" t="s">
        <v>413</v>
      </c>
    </row>
    <row r="80" ht="22.5" customHeight="1">
      <c r="A80" s="2">
        <v>79.0</v>
      </c>
      <c r="B80" s="2" t="s">
        <v>414</v>
      </c>
      <c r="C80" s="2" t="s">
        <v>272</v>
      </c>
      <c r="D80" s="2">
        <v>1123.0</v>
      </c>
      <c r="E80" s="5">
        <v>46236.0</v>
      </c>
      <c r="F80" s="5">
        <v>46144.0</v>
      </c>
      <c r="G80" s="8">
        <v>454454.0</v>
      </c>
      <c r="H80" s="8">
        <v>331397.0</v>
      </c>
      <c r="I80" s="2" t="s">
        <v>415</v>
      </c>
    </row>
    <row r="81" ht="22.5" customHeight="1">
      <c r="A81" s="2">
        <v>80.0</v>
      </c>
      <c r="B81" s="2" t="s">
        <v>416</v>
      </c>
      <c r="C81" s="2" t="s">
        <v>276</v>
      </c>
      <c r="D81" s="2">
        <v>7355.0</v>
      </c>
      <c r="E81" s="5">
        <v>46057.0</v>
      </c>
      <c r="F81" s="5">
        <v>46115.0</v>
      </c>
      <c r="G81" s="2">
        <v>30891.0</v>
      </c>
      <c r="H81" s="7">
        <v>25007.0</v>
      </c>
      <c r="I81" s="2">
        <v>5884.0</v>
      </c>
    </row>
    <row r="82" ht="22.5" customHeight="1">
      <c r="A82" s="2">
        <v>81.0</v>
      </c>
      <c r="B82" s="2" t="s">
        <v>417</v>
      </c>
      <c r="C82" s="2" t="s">
        <v>272</v>
      </c>
      <c r="D82" s="2">
        <v>2399.0</v>
      </c>
      <c r="E82" s="5">
        <v>46236.0</v>
      </c>
      <c r="F82" s="5">
        <v>46144.0</v>
      </c>
      <c r="G82" s="8">
        <v>1759406.0</v>
      </c>
      <c r="H82" s="8">
        <v>1496521.0</v>
      </c>
      <c r="I82" s="2" t="s">
        <v>418</v>
      </c>
    </row>
    <row r="83" ht="22.5" customHeight="1">
      <c r="A83" s="2">
        <v>82.0</v>
      </c>
      <c r="B83" s="2" t="s">
        <v>417</v>
      </c>
      <c r="C83" s="2" t="s">
        <v>272</v>
      </c>
      <c r="D83" s="2">
        <v>2399.0</v>
      </c>
      <c r="E83" s="5">
        <v>46236.0</v>
      </c>
      <c r="F83" s="5">
        <v>46144.0</v>
      </c>
      <c r="G83" s="8">
        <v>1759406.0</v>
      </c>
      <c r="H83" s="8">
        <v>1496521.0</v>
      </c>
      <c r="I83" s="2" t="s">
        <v>418</v>
      </c>
    </row>
    <row r="84" ht="22.5" customHeight="1">
      <c r="A84" s="2">
        <v>83.0</v>
      </c>
      <c r="B84" s="2" t="s">
        <v>419</v>
      </c>
      <c r="C84" s="2" t="s">
        <v>311</v>
      </c>
      <c r="D84" s="2">
        <v>1357.0</v>
      </c>
      <c r="E84" s="5">
        <v>46057.0</v>
      </c>
      <c r="F84" s="5">
        <v>46084.0</v>
      </c>
      <c r="G84" s="8">
        <v>1387649.0</v>
      </c>
      <c r="H84" s="8">
        <v>941598.0</v>
      </c>
      <c r="I84" s="8" t="s">
        <v>420</v>
      </c>
    </row>
    <row r="85" ht="22.5" customHeight="1">
      <c r="A85" s="2">
        <v>84.0</v>
      </c>
      <c r="B85" s="2" t="s">
        <v>419</v>
      </c>
      <c r="C85" s="2" t="s">
        <v>311</v>
      </c>
      <c r="D85" s="2">
        <v>1358.0</v>
      </c>
      <c r="E85" s="5">
        <v>46057.0</v>
      </c>
      <c r="F85" s="5">
        <v>46084.0</v>
      </c>
      <c r="G85" s="8">
        <v>1389170.0</v>
      </c>
      <c r="H85" s="8">
        <v>942784.0</v>
      </c>
      <c r="I85" s="8" t="s">
        <v>421</v>
      </c>
    </row>
    <row r="86" ht="22.5" customHeight="1">
      <c r="A86" s="2">
        <v>85.0</v>
      </c>
      <c r="B86" s="2" t="s">
        <v>419</v>
      </c>
      <c r="C86" s="2" t="s">
        <v>311</v>
      </c>
      <c r="D86" s="2">
        <v>1357.0</v>
      </c>
      <c r="E86" s="5">
        <v>46057.0</v>
      </c>
      <c r="F86" s="5">
        <v>46084.0</v>
      </c>
      <c r="G86" s="8">
        <v>1387649.0</v>
      </c>
      <c r="H86" s="8">
        <v>941598.0</v>
      </c>
      <c r="I86" s="8" t="s">
        <v>420</v>
      </c>
    </row>
    <row r="87" ht="22.5" customHeight="1">
      <c r="A87" s="2">
        <v>86.0</v>
      </c>
      <c r="B87" s="2" t="s">
        <v>422</v>
      </c>
      <c r="C87" s="2" t="s">
        <v>272</v>
      </c>
      <c r="D87" s="2">
        <v>2030.0</v>
      </c>
      <c r="E87" s="5">
        <v>46236.0</v>
      </c>
      <c r="F87" s="5">
        <v>46144.0</v>
      </c>
      <c r="G87" s="2">
        <v>5684.0</v>
      </c>
      <c r="H87" s="7">
        <v>5075.0</v>
      </c>
      <c r="I87" s="2">
        <v>609.0</v>
      </c>
    </row>
    <row r="88" ht="22.5" customHeight="1">
      <c r="A88" s="2">
        <v>87.0</v>
      </c>
      <c r="B88" s="2" t="s">
        <v>423</v>
      </c>
      <c r="C88" s="2" t="s">
        <v>276</v>
      </c>
      <c r="D88" s="2">
        <v>19339.0</v>
      </c>
      <c r="E88" s="5">
        <v>46057.0</v>
      </c>
      <c r="F88" s="5">
        <v>46115.0</v>
      </c>
      <c r="G88" s="2" t="s">
        <v>424</v>
      </c>
      <c r="H88" s="2" t="s">
        <v>425</v>
      </c>
      <c r="I88" s="2" t="s">
        <v>426</v>
      </c>
    </row>
    <row r="89" ht="22.5" customHeight="1">
      <c r="A89" s="2">
        <v>88.0</v>
      </c>
      <c r="B89" s="2" t="s">
        <v>427</v>
      </c>
      <c r="C89" s="2" t="s">
        <v>269</v>
      </c>
      <c r="D89" s="2">
        <v>3262.0</v>
      </c>
      <c r="E89" s="5">
        <v>46058.0</v>
      </c>
      <c r="F89" s="6">
        <v>46146.0</v>
      </c>
      <c r="G89" s="2" t="s">
        <v>428</v>
      </c>
      <c r="H89" s="2" t="s">
        <v>429</v>
      </c>
      <c r="I89" s="8">
        <v>676125.0</v>
      </c>
    </row>
    <row r="90" ht="22.5" customHeight="1">
      <c r="A90" s="2">
        <v>89.0</v>
      </c>
      <c r="B90" s="2" t="s">
        <v>430</v>
      </c>
      <c r="C90" s="2" t="s">
        <v>276</v>
      </c>
      <c r="D90" s="2">
        <v>1070.0</v>
      </c>
      <c r="E90" s="5">
        <v>46057.0</v>
      </c>
      <c r="F90" s="5">
        <v>46115.0</v>
      </c>
      <c r="G90" s="2">
        <v>4494.0</v>
      </c>
      <c r="H90" s="7">
        <v>3638.0</v>
      </c>
      <c r="I90" s="2">
        <v>856.0</v>
      </c>
    </row>
    <row r="91" ht="22.5" customHeight="1">
      <c r="A91" s="2">
        <v>90.0</v>
      </c>
      <c r="B91" s="2" t="s">
        <v>431</v>
      </c>
      <c r="C91" s="2" t="s">
        <v>317</v>
      </c>
      <c r="D91" s="2">
        <v>629.0</v>
      </c>
      <c r="E91" s="5">
        <v>46148.0</v>
      </c>
      <c r="F91" s="5">
        <v>46027.0</v>
      </c>
      <c r="G91" s="8">
        <v>799274.0</v>
      </c>
      <c r="H91" s="8">
        <v>477617.0</v>
      </c>
      <c r="I91" s="2" t="s">
        <v>432</v>
      </c>
    </row>
    <row r="92" ht="22.5" customHeight="1">
      <c r="A92" s="2">
        <v>91.0</v>
      </c>
      <c r="B92" s="2" t="s">
        <v>433</v>
      </c>
      <c r="C92" s="2" t="s">
        <v>272</v>
      </c>
      <c r="D92" s="2">
        <v>1450.0</v>
      </c>
      <c r="E92" s="5">
        <v>46236.0</v>
      </c>
      <c r="F92" s="5">
        <v>46144.0</v>
      </c>
      <c r="G92" s="2">
        <v>4060.0</v>
      </c>
      <c r="H92" s="7">
        <v>3625.0</v>
      </c>
      <c r="I92" s="2">
        <v>435.0</v>
      </c>
    </row>
    <row r="93" ht="22.5" customHeight="1">
      <c r="A93" s="2">
        <v>92.0</v>
      </c>
      <c r="B93" s="2" t="s">
        <v>433</v>
      </c>
      <c r="C93" s="2" t="s">
        <v>272</v>
      </c>
      <c r="D93" s="2">
        <v>1451.0</v>
      </c>
      <c r="E93" s="5">
        <v>46236.0</v>
      </c>
      <c r="F93" s="5">
        <v>46144.0</v>
      </c>
      <c r="G93" s="8">
        <v>789869.0</v>
      </c>
      <c r="H93" s="8">
        <v>630896.0</v>
      </c>
      <c r="I93" s="2" t="s">
        <v>434</v>
      </c>
    </row>
    <row r="94" ht="22.5" customHeight="1">
      <c r="A94" s="2">
        <v>93.0</v>
      </c>
      <c r="B94" s="2" t="s">
        <v>433</v>
      </c>
      <c r="C94" s="2" t="s">
        <v>276</v>
      </c>
      <c r="D94" s="2">
        <v>967.0</v>
      </c>
      <c r="E94" s="5">
        <v>46057.0</v>
      </c>
      <c r="F94" s="5">
        <v>46115.0</v>
      </c>
      <c r="G94" s="8">
        <v>789382.0</v>
      </c>
      <c r="H94" s="8">
        <v>506806.0</v>
      </c>
      <c r="I94" s="2" t="s">
        <v>435</v>
      </c>
    </row>
    <row r="95" ht="22.5" customHeight="1">
      <c r="A95" s="2">
        <v>94.0</v>
      </c>
      <c r="B95" s="2" t="s">
        <v>436</v>
      </c>
      <c r="C95" s="2" t="s">
        <v>272</v>
      </c>
      <c r="D95" s="2">
        <v>2855.0</v>
      </c>
      <c r="E95" s="5">
        <v>46236.0</v>
      </c>
      <c r="F95" s="5">
        <v>46144.0</v>
      </c>
      <c r="G95" s="2">
        <v>7994.0</v>
      </c>
      <c r="H95" s="8">
        <v>1912897.0</v>
      </c>
      <c r="I95" s="2" t="s">
        <v>437</v>
      </c>
    </row>
    <row r="96" ht="22.5" customHeight="1">
      <c r="A96" s="2">
        <v>95.0</v>
      </c>
      <c r="B96" s="2" t="s">
        <v>436</v>
      </c>
      <c r="C96" s="2" t="s">
        <v>317</v>
      </c>
      <c r="D96" s="2">
        <v>1230.0</v>
      </c>
      <c r="E96" s="5">
        <v>46148.0</v>
      </c>
      <c r="F96" s="5">
        <v>46027.0</v>
      </c>
      <c r="G96" s="2">
        <v>7995.0</v>
      </c>
      <c r="H96" s="7">
        <v>6273.0</v>
      </c>
      <c r="I96" s="2">
        <v>1722.0</v>
      </c>
    </row>
    <row r="97" ht="22.5" customHeight="1">
      <c r="A97" s="2">
        <v>96.0</v>
      </c>
      <c r="B97" s="2" t="s">
        <v>438</v>
      </c>
      <c r="C97" s="2" t="s">
        <v>270</v>
      </c>
      <c r="D97" s="2">
        <v>24936.0</v>
      </c>
      <c r="E97" s="5">
        <v>46061.0</v>
      </c>
      <c r="F97" s="5">
        <v>46059.0</v>
      </c>
      <c r="G97" s="2" t="s">
        <v>439</v>
      </c>
      <c r="H97" s="2" t="s">
        <v>440</v>
      </c>
      <c r="I97" s="2">
        <v>49872.0</v>
      </c>
    </row>
    <row r="98" ht="22.5" customHeight="1">
      <c r="A98" s="2">
        <v>97.0</v>
      </c>
      <c r="B98" s="2" t="s">
        <v>441</v>
      </c>
      <c r="C98" s="2" t="s">
        <v>272</v>
      </c>
      <c r="D98" s="2">
        <v>1274.0</v>
      </c>
      <c r="E98" s="5">
        <v>46236.0</v>
      </c>
      <c r="F98" s="5">
        <v>46144.0</v>
      </c>
      <c r="G98" s="8">
        <v>608892.0</v>
      </c>
      <c r="H98" s="7">
        <v>3185.0</v>
      </c>
      <c r="I98" s="2" t="s">
        <v>442</v>
      </c>
    </row>
    <row r="99" ht="22.5" customHeight="1">
      <c r="A99" s="2">
        <v>98.0</v>
      </c>
      <c r="B99" s="2" t="s">
        <v>443</v>
      </c>
      <c r="C99" s="2" t="s">
        <v>278</v>
      </c>
      <c r="D99" s="2">
        <v>2885.0</v>
      </c>
      <c r="E99" s="5">
        <v>46115.0</v>
      </c>
      <c r="F99" s="2" t="s">
        <v>279</v>
      </c>
      <c r="G99" s="2">
        <v>9809.0</v>
      </c>
      <c r="H99" s="2" t="s">
        <v>444</v>
      </c>
      <c r="I99" s="2" t="s">
        <v>445</v>
      </c>
    </row>
    <row r="100" ht="22.5" customHeight="1">
      <c r="A100" s="2">
        <v>99.0</v>
      </c>
      <c r="B100" s="2" t="s">
        <v>446</v>
      </c>
      <c r="C100" s="2" t="s">
        <v>287</v>
      </c>
      <c r="D100" s="2">
        <v>390.0</v>
      </c>
      <c r="E100" s="5">
        <v>46152.0</v>
      </c>
      <c r="F100" s="5">
        <v>46241.0</v>
      </c>
      <c r="G100" s="2">
        <v>4095.0</v>
      </c>
      <c r="H100" s="7">
        <v>3042.0</v>
      </c>
      <c r="I100" s="2">
        <v>1053.0</v>
      </c>
    </row>
    <row r="101" ht="22.5" customHeight="1">
      <c r="A101" s="2">
        <v>100.0</v>
      </c>
      <c r="B101" s="2" t="s">
        <v>446</v>
      </c>
      <c r="C101" s="2" t="s">
        <v>291</v>
      </c>
      <c r="D101" s="2">
        <v>603.0</v>
      </c>
      <c r="E101" s="5">
        <v>46240.0</v>
      </c>
      <c r="F101" s="5">
        <v>46027.0</v>
      </c>
      <c r="G101" s="8">
        <v>803626.0</v>
      </c>
      <c r="H101" s="8">
        <v>429221.0</v>
      </c>
      <c r="I101" s="8" t="s">
        <v>447</v>
      </c>
    </row>
    <row r="102" ht="22.5" customHeight="1">
      <c r="A102" s="2">
        <v>101.0</v>
      </c>
      <c r="B102" s="2" t="s">
        <v>448</v>
      </c>
      <c r="C102" s="2" t="s">
        <v>291</v>
      </c>
      <c r="D102" s="2">
        <v>517.0</v>
      </c>
      <c r="E102" s="5">
        <v>46240.0</v>
      </c>
      <c r="F102" s="5">
        <v>46027.0</v>
      </c>
      <c r="G102" s="8">
        <v>590019.0</v>
      </c>
      <c r="H102" s="8">
        <v>269002.0</v>
      </c>
      <c r="I102" s="2" t="s">
        <v>449</v>
      </c>
    </row>
    <row r="103" ht="22.5" customHeight="1">
      <c r="A103" s="2">
        <v>102.0</v>
      </c>
      <c r="B103" s="2" t="s">
        <v>448</v>
      </c>
      <c r="C103" s="2" t="s">
        <v>311</v>
      </c>
      <c r="D103" s="2">
        <v>837.0</v>
      </c>
      <c r="E103" s="5">
        <v>46057.0</v>
      </c>
      <c r="F103" s="5">
        <v>46084.0</v>
      </c>
      <c r="G103" s="8">
        <v>589958.0</v>
      </c>
      <c r="H103" s="8">
        <v>314841.0</v>
      </c>
      <c r="I103" s="2" t="s">
        <v>450</v>
      </c>
    </row>
    <row r="104" ht="22.5" customHeight="1">
      <c r="A104" s="2">
        <v>103.0</v>
      </c>
      <c r="B104" s="2" t="s">
        <v>451</v>
      </c>
      <c r="C104" s="2" t="s">
        <v>276</v>
      </c>
      <c r="D104" s="2">
        <v>2771.0</v>
      </c>
      <c r="E104" s="5">
        <v>46057.0</v>
      </c>
      <c r="F104" s="5">
        <v>46115.0</v>
      </c>
      <c r="G104" s="2" t="s">
        <v>452</v>
      </c>
      <c r="H104" s="8">
        <v>2747081.0</v>
      </c>
      <c r="I104" s="8">
        <v>115631.0</v>
      </c>
    </row>
    <row r="105" ht="22.5" customHeight="1">
      <c r="A105" s="2">
        <v>104.0</v>
      </c>
      <c r="B105" s="2" t="s">
        <v>451</v>
      </c>
      <c r="C105" s="2" t="s">
        <v>276</v>
      </c>
      <c r="D105" s="2">
        <v>2771.0</v>
      </c>
      <c r="E105" s="5">
        <v>46057.0</v>
      </c>
      <c r="F105" s="5">
        <v>46115.0</v>
      </c>
      <c r="G105" s="2" t="s">
        <v>452</v>
      </c>
      <c r="H105" s="8">
        <v>2747081.0</v>
      </c>
      <c r="I105" s="8">
        <v>115631.0</v>
      </c>
    </row>
    <row r="106" ht="22.5" customHeight="1">
      <c r="A106" s="2">
        <v>105.0</v>
      </c>
      <c r="B106" s="2" t="s">
        <v>451</v>
      </c>
      <c r="C106" s="2" t="s">
        <v>272</v>
      </c>
      <c r="D106" s="2">
        <v>4156.0</v>
      </c>
      <c r="E106" s="5">
        <v>46236.0</v>
      </c>
      <c r="F106" s="5">
        <v>46144.0</v>
      </c>
      <c r="G106" s="2" t="s">
        <v>453</v>
      </c>
      <c r="H106" s="7">
        <v>10390.0</v>
      </c>
      <c r="I106" s="8" t="s">
        <v>454</v>
      </c>
    </row>
    <row r="107" ht="22.5" customHeight="1">
      <c r="A107" s="2">
        <v>106.0</v>
      </c>
      <c r="B107" s="2" t="s">
        <v>455</v>
      </c>
      <c r="C107" s="2" t="s">
        <v>317</v>
      </c>
      <c r="D107" s="2">
        <v>893.0</v>
      </c>
      <c r="E107" s="5">
        <v>46148.0</v>
      </c>
      <c r="F107" s="5">
        <v>46027.0</v>
      </c>
      <c r="G107" s="8">
        <v>1426029.0</v>
      </c>
      <c r="H107" s="8">
        <v>969415.0</v>
      </c>
      <c r="I107" s="8" t="s">
        <v>456</v>
      </c>
    </row>
    <row r="108" ht="22.5" customHeight="1">
      <c r="A108" s="2">
        <v>107.0</v>
      </c>
      <c r="B108" s="2" t="s">
        <v>455</v>
      </c>
      <c r="C108" s="2" t="s">
        <v>272</v>
      </c>
      <c r="D108" s="2">
        <v>2071.0</v>
      </c>
      <c r="E108" s="5">
        <v>46236.0</v>
      </c>
      <c r="F108" s="5">
        <v>46144.0</v>
      </c>
      <c r="G108" s="8">
        <v>1423930.0</v>
      </c>
      <c r="H108" s="8">
        <v>1197022.0</v>
      </c>
      <c r="I108" s="2" t="s">
        <v>457</v>
      </c>
    </row>
    <row r="109" ht="22.5" customHeight="1">
      <c r="A109" s="2">
        <v>108.0</v>
      </c>
      <c r="B109" s="2" t="s">
        <v>458</v>
      </c>
      <c r="C109" s="2" t="s">
        <v>276</v>
      </c>
      <c r="D109" s="2">
        <v>11388.0</v>
      </c>
      <c r="E109" s="5">
        <v>46057.0</v>
      </c>
      <c r="F109" s="5">
        <v>46115.0</v>
      </c>
      <c r="G109" s="2" t="s">
        <v>459</v>
      </c>
      <c r="H109" s="2" t="s">
        <v>460</v>
      </c>
      <c r="I109" s="8">
        <v>2633490.0</v>
      </c>
    </row>
    <row r="110" ht="22.5" customHeight="1">
      <c r="A110" s="2">
        <v>109.0</v>
      </c>
      <c r="B110" s="2" t="s">
        <v>461</v>
      </c>
      <c r="C110" s="2" t="s">
        <v>311</v>
      </c>
      <c r="D110" s="2">
        <v>3896.0</v>
      </c>
      <c r="E110" s="5">
        <v>46057.0</v>
      </c>
      <c r="F110" s="5">
        <v>46084.0</v>
      </c>
      <c r="G110" s="2" t="s">
        <v>462</v>
      </c>
      <c r="H110" s="2" t="s">
        <v>463</v>
      </c>
      <c r="I110" s="8">
        <v>586671.0</v>
      </c>
    </row>
    <row r="111" ht="22.5" customHeight="1">
      <c r="A111" s="2">
        <v>110.0</v>
      </c>
      <c r="B111" s="2" t="s">
        <v>464</v>
      </c>
      <c r="C111" s="2" t="s">
        <v>278</v>
      </c>
      <c r="D111" s="2">
        <v>569.0</v>
      </c>
      <c r="E111" s="5">
        <v>46115.0</v>
      </c>
      <c r="F111" s="2" t="s">
        <v>279</v>
      </c>
      <c r="G111" s="8">
        <v>12571.0</v>
      </c>
      <c r="H111" s="2" t="s">
        <v>465</v>
      </c>
      <c r="I111" s="2" t="s">
        <v>466</v>
      </c>
    </row>
    <row r="112" ht="22.5" customHeight="1">
      <c r="A112" s="2">
        <v>111.0</v>
      </c>
      <c r="B112" s="2" t="s">
        <v>464</v>
      </c>
      <c r="C112" s="2" t="s">
        <v>278</v>
      </c>
      <c r="D112" s="2">
        <v>569.0</v>
      </c>
      <c r="E112" s="5">
        <v>46115.0</v>
      </c>
      <c r="F112" s="2" t="s">
        <v>279</v>
      </c>
      <c r="G112" s="8">
        <v>12571.0</v>
      </c>
      <c r="H112" s="2" t="s">
        <v>465</v>
      </c>
      <c r="I112" s="2" t="s">
        <v>466</v>
      </c>
    </row>
    <row r="113" ht="22.5" customHeight="1">
      <c r="A113" s="2">
        <v>112.0</v>
      </c>
      <c r="B113" s="2" t="s">
        <v>464</v>
      </c>
      <c r="C113" s="2" t="s">
        <v>278</v>
      </c>
      <c r="D113" s="2">
        <v>569.0</v>
      </c>
      <c r="E113" s="5">
        <v>46115.0</v>
      </c>
      <c r="F113" s="2" t="s">
        <v>279</v>
      </c>
      <c r="G113" s="8">
        <v>12571.0</v>
      </c>
      <c r="H113" s="2" t="s">
        <v>465</v>
      </c>
      <c r="I113" s="2" t="s">
        <v>466</v>
      </c>
    </row>
    <row r="114" ht="22.5" customHeight="1">
      <c r="A114" s="2">
        <v>113.0</v>
      </c>
      <c r="B114" s="2" t="s">
        <v>467</v>
      </c>
      <c r="C114" s="2" t="s">
        <v>272</v>
      </c>
      <c r="D114" s="2">
        <v>5971.0</v>
      </c>
      <c r="E114" s="5">
        <v>46236.0</v>
      </c>
      <c r="F114" s="5">
        <v>46144.0</v>
      </c>
      <c r="G114" s="2" t="s">
        <v>468</v>
      </c>
      <c r="H114" s="2" t="s">
        <v>469</v>
      </c>
      <c r="I114" s="8" t="s">
        <v>470</v>
      </c>
    </row>
    <row r="115" ht="22.5" customHeight="1">
      <c r="A115" s="2">
        <v>114.0</v>
      </c>
      <c r="B115" s="2" t="s">
        <v>471</v>
      </c>
      <c r="C115" s="2" t="s">
        <v>272</v>
      </c>
      <c r="D115" s="2">
        <v>850.0</v>
      </c>
      <c r="E115" s="5">
        <v>46236.0</v>
      </c>
      <c r="F115" s="5">
        <v>46144.0</v>
      </c>
      <c r="G115" s="2">
        <v>2380.0</v>
      </c>
      <c r="H115" s="7">
        <v>2125.0</v>
      </c>
      <c r="I115" s="2">
        <v>255.0</v>
      </c>
    </row>
    <row r="116" ht="22.5" customHeight="1">
      <c r="A116" s="2">
        <v>115.0</v>
      </c>
      <c r="B116" s="2" t="s">
        <v>471</v>
      </c>
      <c r="C116" s="2" t="s">
        <v>317</v>
      </c>
      <c r="D116" s="2">
        <v>366.0</v>
      </c>
      <c r="E116" s="5">
        <v>46148.0</v>
      </c>
      <c r="F116" s="5">
        <v>46027.0</v>
      </c>
      <c r="G116" s="2">
        <v>2379.0</v>
      </c>
      <c r="H116" s="8" t="s">
        <v>472</v>
      </c>
      <c r="I116" s="2" t="s">
        <v>473</v>
      </c>
    </row>
    <row r="117" ht="22.5" customHeight="1">
      <c r="A117" s="2">
        <v>116.0</v>
      </c>
      <c r="B117" s="2" t="s">
        <v>474</v>
      </c>
      <c r="C117" s="2" t="s">
        <v>311</v>
      </c>
      <c r="D117" s="2">
        <v>1098.0</v>
      </c>
      <c r="E117" s="5">
        <v>46057.0</v>
      </c>
      <c r="F117" s="5">
        <v>46084.0</v>
      </c>
      <c r="G117" s="8">
        <v>990325.0</v>
      </c>
      <c r="H117" s="8">
        <v>629405.0</v>
      </c>
      <c r="I117" s="2" t="s">
        <v>475</v>
      </c>
    </row>
    <row r="118" ht="22.5" customHeight="1">
      <c r="A118" s="2">
        <v>117.0</v>
      </c>
      <c r="B118" s="2" t="s">
        <v>474</v>
      </c>
      <c r="C118" s="2" t="s">
        <v>291</v>
      </c>
      <c r="D118" s="2">
        <v>678.0</v>
      </c>
      <c r="E118" s="5">
        <v>46240.0</v>
      </c>
      <c r="F118" s="5">
        <v>46027.0</v>
      </c>
      <c r="G118" s="8">
        <v>989899.0</v>
      </c>
      <c r="H118" s="8">
        <v>568897.0</v>
      </c>
      <c r="I118" s="8" t="s">
        <v>476</v>
      </c>
    </row>
    <row r="119" ht="22.5" customHeight="1">
      <c r="A119" s="2">
        <v>118.0</v>
      </c>
      <c r="B119" s="2" t="s">
        <v>474</v>
      </c>
      <c r="C119" s="2" t="s">
        <v>291</v>
      </c>
      <c r="D119" s="2">
        <v>678.0</v>
      </c>
      <c r="E119" s="5">
        <v>46240.0</v>
      </c>
      <c r="F119" s="5">
        <v>46027.0</v>
      </c>
      <c r="G119" s="8">
        <v>989899.0</v>
      </c>
      <c r="H119" s="8">
        <v>568897.0</v>
      </c>
      <c r="I119" s="8" t="s">
        <v>476</v>
      </c>
    </row>
    <row r="120" ht="22.5" customHeight="1">
      <c r="A120" s="2">
        <v>119.0</v>
      </c>
      <c r="B120" s="2" t="s">
        <v>477</v>
      </c>
      <c r="C120" s="2" t="s">
        <v>272</v>
      </c>
      <c r="D120" s="2">
        <v>809.0</v>
      </c>
      <c r="E120" s="5">
        <v>46236.0</v>
      </c>
      <c r="F120" s="5">
        <v>46144.0</v>
      </c>
      <c r="G120" s="8">
        <v>133347.0</v>
      </c>
      <c r="H120" s="8">
        <v>44682.0</v>
      </c>
      <c r="I120" s="2" t="s">
        <v>478</v>
      </c>
    </row>
    <row r="121" ht="22.5" customHeight="1">
      <c r="A121" s="2">
        <v>120.0</v>
      </c>
      <c r="B121" s="2" t="s">
        <v>477</v>
      </c>
      <c r="C121" s="2" t="s">
        <v>272</v>
      </c>
      <c r="D121" s="2">
        <v>808.0</v>
      </c>
      <c r="E121" s="5">
        <v>46236.0</v>
      </c>
      <c r="F121" s="5">
        <v>46144.0</v>
      </c>
      <c r="G121" s="8">
        <v>132310.0</v>
      </c>
      <c r="H121" s="7">
        <v>2020.0</v>
      </c>
      <c r="I121" s="2" t="s">
        <v>479</v>
      </c>
    </row>
    <row r="122" ht="22.5" customHeight="1">
      <c r="A122" s="2">
        <v>121.0</v>
      </c>
      <c r="B122" s="2" t="s">
        <v>480</v>
      </c>
      <c r="C122" s="2" t="s">
        <v>317</v>
      </c>
      <c r="D122" s="2">
        <v>9682.0</v>
      </c>
      <c r="E122" s="5">
        <v>46148.0</v>
      </c>
      <c r="F122" s="5">
        <v>46027.0</v>
      </c>
      <c r="G122" s="2">
        <v>62933.0</v>
      </c>
      <c r="H122" s="2" t="s">
        <v>481</v>
      </c>
      <c r="I122" s="2" t="s">
        <v>482</v>
      </c>
    </row>
    <row r="123" ht="22.5" customHeight="1">
      <c r="A123" s="2">
        <v>122.0</v>
      </c>
      <c r="B123" s="2" t="s">
        <v>483</v>
      </c>
      <c r="C123" s="2" t="s">
        <v>272</v>
      </c>
      <c r="D123" s="2">
        <v>47424.0</v>
      </c>
      <c r="E123" s="5">
        <v>46236.0</v>
      </c>
      <c r="F123" s="5">
        <v>46144.0</v>
      </c>
      <c r="G123" s="2" t="s">
        <v>484</v>
      </c>
      <c r="H123" s="7">
        <v>118560.0</v>
      </c>
      <c r="I123" s="2" t="s">
        <v>485</v>
      </c>
    </row>
    <row r="124" ht="22.5" customHeight="1">
      <c r="A124" s="2">
        <v>123.0</v>
      </c>
      <c r="B124" s="2" t="s">
        <v>486</v>
      </c>
      <c r="C124" s="2" t="s">
        <v>311</v>
      </c>
      <c r="D124" s="2">
        <v>5401.0</v>
      </c>
      <c r="E124" s="5">
        <v>46057.0</v>
      </c>
      <c r="F124" s="5">
        <v>46084.0</v>
      </c>
      <c r="G124" s="2" t="s">
        <v>487</v>
      </c>
      <c r="H124" s="2" t="s">
        <v>488</v>
      </c>
      <c r="I124" s="8">
        <v>1081364.0</v>
      </c>
    </row>
    <row r="125" ht="22.5" customHeight="1">
      <c r="A125" s="2">
        <v>124.0</v>
      </c>
      <c r="B125" s="2" t="s">
        <v>486</v>
      </c>
      <c r="C125" s="2" t="s">
        <v>311</v>
      </c>
      <c r="D125" s="2">
        <v>5402.0</v>
      </c>
      <c r="E125" s="5">
        <v>46057.0</v>
      </c>
      <c r="F125" s="5">
        <v>46084.0</v>
      </c>
      <c r="G125" s="2" t="s">
        <v>489</v>
      </c>
      <c r="H125" s="2" t="s">
        <v>490</v>
      </c>
      <c r="I125" s="8">
        <v>1081698.0</v>
      </c>
    </row>
    <row r="126" ht="22.5" customHeight="1">
      <c r="A126" s="2">
        <v>125.0</v>
      </c>
      <c r="B126" s="2" t="s">
        <v>491</v>
      </c>
      <c r="C126" s="2" t="s">
        <v>276</v>
      </c>
      <c r="D126" s="2">
        <v>3057.0</v>
      </c>
      <c r="E126" s="5">
        <v>46057.0</v>
      </c>
      <c r="F126" s="5">
        <v>46115.0</v>
      </c>
      <c r="G126" s="2" t="s">
        <v>492</v>
      </c>
      <c r="H126" s="2" t="s">
        <v>493</v>
      </c>
      <c r="I126" s="8">
        <v>199211.0</v>
      </c>
    </row>
    <row r="127" ht="22.5" customHeight="1">
      <c r="A127" s="2">
        <v>126.0</v>
      </c>
      <c r="B127" s="2" t="s">
        <v>491</v>
      </c>
      <c r="C127" s="2" t="s">
        <v>317</v>
      </c>
      <c r="D127" s="2">
        <v>1975.0</v>
      </c>
      <c r="E127" s="5">
        <v>46148.0</v>
      </c>
      <c r="F127" s="5">
        <v>46027.0</v>
      </c>
      <c r="G127" s="2" t="s">
        <v>494</v>
      </c>
      <c r="H127" s="2" t="s">
        <v>495</v>
      </c>
      <c r="I127" s="2">
        <v>2765.0</v>
      </c>
    </row>
    <row r="128" ht="22.5" customHeight="1">
      <c r="A128" s="2">
        <v>127.0</v>
      </c>
      <c r="B128" s="2" t="s">
        <v>496</v>
      </c>
      <c r="C128" s="2" t="s">
        <v>272</v>
      </c>
      <c r="D128" s="2">
        <v>2728.0</v>
      </c>
      <c r="E128" s="5">
        <v>46236.0</v>
      </c>
      <c r="F128" s="5">
        <v>46144.0</v>
      </c>
      <c r="G128" s="8">
        <v>2095854.0</v>
      </c>
      <c r="H128" s="7">
        <v>6820.0</v>
      </c>
      <c r="I128" s="2" t="s">
        <v>497</v>
      </c>
    </row>
    <row r="129" ht="22.5" customHeight="1">
      <c r="A129" s="2">
        <v>128.0</v>
      </c>
      <c r="B129" s="2" t="s">
        <v>498</v>
      </c>
      <c r="C129" s="2" t="s">
        <v>311</v>
      </c>
      <c r="D129" s="2">
        <v>2256.0</v>
      </c>
      <c r="E129" s="5">
        <v>46057.0</v>
      </c>
      <c r="F129" s="5">
        <v>46084.0</v>
      </c>
      <c r="G129" s="8">
        <v>2766745.0</v>
      </c>
      <c r="H129" s="8">
        <v>2025119.0</v>
      </c>
      <c r="I129" s="8">
        <v>47574.0</v>
      </c>
    </row>
    <row r="130" ht="22.5" customHeight="1">
      <c r="A130" s="2">
        <v>129.0</v>
      </c>
      <c r="B130" s="2" t="s">
        <v>499</v>
      </c>
      <c r="C130" s="2" t="s">
        <v>276</v>
      </c>
      <c r="D130" s="2">
        <v>2682.0</v>
      </c>
      <c r="E130" s="5">
        <v>46057.0</v>
      </c>
      <c r="F130" s="5">
        <v>46115.0</v>
      </c>
      <c r="G130" s="2" t="s">
        <v>500</v>
      </c>
      <c r="H130" s="8">
        <v>2636534.0</v>
      </c>
      <c r="I130" s="8">
        <v>89638.0</v>
      </c>
    </row>
    <row r="131" ht="22.5" customHeight="1">
      <c r="A131" s="2">
        <v>130.0</v>
      </c>
      <c r="B131" s="2" t="s">
        <v>501</v>
      </c>
      <c r="C131" s="2" t="s">
        <v>278</v>
      </c>
      <c r="D131" s="2">
        <v>3212.0</v>
      </c>
      <c r="E131" s="5">
        <v>46115.0</v>
      </c>
      <c r="F131" s="2" t="s">
        <v>279</v>
      </c>
      <c r="G131" s="2" t="s">
        <v>502</v>
      </c>
      <c r="H131" s="8">
        <v>2649502.0</v>
      </c>
      <c r="I131" s="8" t="s">
        <v>503</v>
      </c>
    </row>
    <row r="132" ht="22.5" customHeight="1">
      <c r="A132" s="2">
        <v>131.0</v>
      </c>
      <c r="B132" s="2" t="s">
        <v>504</v>
      </c>
      <c r="C132" s="2" t="s">
        <v>311</v>
      </c>
      <c r="D132" s="2">
        <v>1396.0</v>
      </c>
      <c r="E132" s="5">
        <v>46057.0</v>
      </c>
      <c r="F132" s="5">
        <v>46084.0</v>
      </c>
      <c r="G132" s="8">
        <v>1447489.0</v>
      </c>
      <c r="H132" s="8">
        <v>988560.0</v>
      </c>
      <c r="I132" s="8" t="s">
        <v>505</v>
      </c>
    </row>
    <row r="133" ht="22.5" customHeight="1">
      <c r="A133" s="2">
        <v>132.0</v>
      </c>
      <c r="B133" s="2" t="s">
        <v>506</v>
      </c>
      <c r="C133" s="2" t="s">
        <v>276</v>
      </c>
      <c r="D133" s="2">
        <v>17966.0</v>
      </c>
      <c r="E133" s="5">
        <v>46057.0</v>
      </c>
      <c r="F133" s="5">
        <v>46115.0</v>
      </c>
      <c r="G133" s="2" t="s">
        <v>507</v>
      </c>
      <c r="H133" s="2" t="s">
        <v>508</v>
      </c>
      <c r="I133" s="2" t="s">
        <v>509</v>
      </c>
    </row>
    <row r="134" ht="22.5" customHeight="1">
      <c r="A134" s="2">
        <v>133.0</v>
      </c>
      <c r="B134" s="2" t="s">
        <v>506</v>
      </c>
      <c r="C134" s="2" t="s">
        <v>317</v>
      </c>
      <c r="D134" s="2">
        <v>11608.0</v>
      </c>
      <c r="E134" s="5">
        <v>46148.0</v>
      </c>
      <c r="F134" s="5">
        <v>46027.0</v>
      </c>
      <c r="G134" s="2">
        <v>75452.0</v>
      </c>
      <c r="H134" s="2" t="s">
        <v>510</v>
      </c>
      <c r="I134" s="2" t="s">
        <v>511</v>
      </c>
    </row>
    <row r="135" ht="22.5" customHeight="1">
      <c r="A135" s="2">
        <v>134.0</v>
      </c>
      <c r="B135" s="2" t="s">
        <v>506</v>
      </c>
      <c r="C135" s="2" t="s">
        <v>317</v>
      </c>
      <c r="D135" s="2">
        <v>11609.0</v>
      </c>
      <c r="E135" s="5">
        <v>46148.0</v>
      </c>
      <c r="F135" s="5">
        <v>46027.0</v>
      </c>
      <c r="G135" s="2" t="s">
        <v>512</v>
      </c>
      <c r="H135" s="2" t="s">
        <v>513</v>
      </c>
      <c r="I135" s="2" t="s">
        <v>514</v>
      </c>
    </row>
    <row r="136" ht="22.5" customHeight="1">
      <c r="A136" s="2">
        <v>135.0</v>
      </c>
      <c r="B136" s="2" t="s">
        <v>515</v>
      </c>
      <c r="C136" s="2" t="s">
        <v>272</v>
      </c>
      <c r="D136" s="2">
        <v>5960.0</v>
      </c>
      <c r="E136" s="5">
        <v>46236.0</v>
      </c>
      <c r="F136" s="5">
        <v>46144.0</v>
      </c>
      <c r="G136" s="2">
        <v>16688.0</v>
      </c>
      <c r="H136" s="7">
        <v>14900.0</v>
      </c>
      <c r="I136" s="2">
        <v>1788.0</v>
      </c>
    </row>
    <row r="137" ht="22.5" customHeight="1">
      <c r="A137" s="2">
        <v>136.0</v>
      </c>
      <c r="B137" s="2" t="s">
        <v>515</v>
      </c>
      <c r="C137" s="2" t="s">
        <v>276</v>
      </c>
      <c r="D137" s="2">
        <v>3973.0</v>
      </c>
      <c r="E137" s="5">
        <v>46057.0</v>
      </c>
      <c r="F137" s="5">
        <v>46115.0</v>
      </c>
      <c r="G137" s="2" t="s">
        <v>516</v>
      </c>
      <c r="H137" s="2" t="s">
        <v>517</v>
      </c>
      <c r="I137" s="8">
        <v>466872.0</v>
      </c>
    </row>
    <row r="138" ht="22.5" customHeight="1">
      <c r="A138" s="2">
        <v>137.0</v>
      </c>
      <c r="B138" s="2" t="s">
        <v>515</v>
      </c>
      <c r="C138" s="2" t="s">
        <v>276</v>
      </c>
      <c r="D138" s="2">
        <v>3974.0</v>
      </c>
      <c r="E138" s="5">
        <v>46057.0</v>
      </c>
      <c r="F138" s="5">
        <v>46115.0</v>
      </c>
      <c r="G138" s="2" t="s">
        <v>518</v>
      </c>
      <c r="H138" s="2" t="s">
        <v>519</v>
      </c>
      <c r="I138" s="8">
        <v>467178.0</v>
      </c>
    </row>
    <row r="139" ht="22.5" customHeight="1">
      <c r="A139" s="2">
        <v>138.0</v>
      </c>
      <c r="B139" s="2" t="s">
        <v>520</v>
      </c>
      <c r="C139" s="2" t="s">
        <v>317</v>
      </c>
      <c r="D139" s="2">
        <v>2079.0</v>
      </c>
      <c r="E139" s="5">
        <v>46148.0</v>
      </c>
      <c r="F139" s="5">
        <v>46027.0</v>
      </c>
      <c r="G139" s="2" t="s">
        <v>521</v>
      </c>
      <c r="H139" s="2" t="s">
        <v>522</v>
      </c>
      <c r="I139" s="8">
        <v>369048.0</v>
      </c>
    </row>
    <row r="140" ht="22.5" customHeight="1">
      <c r="A140" s="2">
        <v>139.0</v>
      </c>
      <c r="B140" s="2" t="s">
        <v>520</v>
      </c>
      <c r="C140" s="2" t="s">
        <v>317</v>
      </c>
      <c r="D140" s="2">
        <v>2079.0</v>
      </c>
      <c r="E140" s="5">
        <v>46148.0</v>
      </c>
      <c r="F140" s="5">
        <v>46027.0</v>
      </c>
      <c r="G140" s="2" t="s">
        <v>521</v>
      </c>
      <c r="H140" s="2" t="s">
        <v>522</v>
      </c>
      <c r="I140" s="8">
        <v>369048.0</v>
      </c>
    </row>
    <row r="141" ht="22.5" customHeight="1">
      <c r="A141" s="2">
        <v>140.0</v>
      </c>
      <c r="B141" s="2" t="s">
        <v>520</v>
      </c>
      <c r="C141" s="2" t="s">
        <v>272</v>
      </c>
      <c r="D141" s="2">
        <v>4825.0</v>
      </c>
      <c r="E141" s="5">
        <v>46236.0</v>
      </c>
      <c r="F141" s="5">
        <v>46144.0</v>
      </c>
      <c r="G141" s="2">
        <v>13510.0</v>
      </c>
      <c r="H141" s="2" t="s">
        <v>523</v>
      </c>
      <c r="I141" s="8" t="s">
        <v>524</v>
      </c>
    </row>
    <row r="142" ht="22.5" customHeight="1">
      <c r="A142" s="2">
        <v>141.0</v>
      </c>
      <c r="B142" s="2" t="s">
        <v>525</v>
      </c>
      <c r="C142" s="2" t="s">
        <v>272</v>
      </c>
      <c r="D142" s="2">
        <v>5880.0</v>
      </c>
      <c r="E142" s="5">
        <v>46236.0</v>
      </c>
      <c r="F142" s="5">
        <v>46144.0</v>
      </c>
      <c r="G142" s="2">
        <v>16464.0</v>
      </c>
      <c r="H142" s="7">
        <v>14700.0</v>
      </c>
      <c r="I142" s="2">
        <v>1764.0</v>
      </c>
    </row>
    <row r="143" ht="22.5" customHeight="1">
      <c r="A143" s="2">
        <v>142.0</v>
      </c>
      <c r="B143" s="2" t="s">
        <v>526</v>
      </c>
      <c r="C143" s="2" t="s">
        <v>276</v>
      </c>
      <c r="D143" s="2">
        <v>1677.0</v>
      </c>
      <c r="E143" s="5">
        <v>46057.0</v>
      </c>
      <c r="F143" s="5">
        <v>46115.0</v>
      </c>
      <c r="G143" s="8">
        <v>1878534.0</v>
      </c>
      <c r="H143" s="8">
        <v>1388501.0</v>
      </c>
      <c r="I143" s="8" t="s">
        <v>527</v>
      </c>
    </row>
    <row r="144" ht="22.5" customHeight="1">
      <c r="A144" s="2">
        <v>143.0</v>
      </c>
      <c r="B144" s="2" t="s">
        <v>526</v>
      </c>
      <c r="C144" s="2" t="s">
        <v>317</v>
      </c>
      <c r="D144" s="2">
        <v>1084.0</v>
      </c>
      <c r="E144" s="5">
        <v>46148.0</v>
      </c>
      <c r="F144" s="5">
        <v>46027.0</v>
      </c>
      <c r="G144" s="2">
        <v>7046.0</v>
      </c>
      <c r="H144" s="8">
        <v>1325192.0</v>
      </c>
      <c r="I144" s="8" t="s">
        <v>528</v>
      </c>
    </row>
    <row r="145" ht="22.5" customHeight="1">
      <c r="A145" s="2">
        <v>144.0</v>
      </c>
      <c r="B145" s="2" t="s">
        <v>526</v>
      </c>
      <c r="C145" s="2" t="s">
        <v>272</v>
      </c>
      <c r="D145" s="2">
        <v>2514.0</v>
      </c>
      <c r="E145" s="5">
        <v>46236.0</v>
      </c>
      <c r="F145" s="5">
        <v>46144.0</v>
      </c>
      <c r="G145" s="8">
        <v>1877014.0</v>
      </c>
      <c r="H145" s="7">
        <v>6285.0</v>
      </c>
      <c r="I145" s="2" t="s">
        <v>529</v>
      </c>
    </row>
    <row r="146" ht="22.5" customHeight="1">
      <c r="A146" s="2">
        <v>145.0</v>
      </c>
      <c r="B146" s="2" t="s">
        <v>530</v>
      </c>
      <c r="C146" s="2" t="s">
        <v>278</v>
      </c>
      <c r="D146" s="2">
        <v>18029.0</v>
      </c>
      <c r="E146" s="5">
        <v>46115.0</v>
      </c>
      <c r="F146" s="2" t="s">
        <v>279</v>
      </c>
      <c r="G146" s="2" t="s">
        <v>531</v>
      </c>
      <c r="H146" s="2" t="s">
        <v>532</v>
      </c>
      <c r="I146" s="2" t="s">
        <v>533</v>
      </c>
    </row>
    <row r="147" ht="22.5" customHeight="1">
      <c r="A147" s="2">
        <v>146.0</v>
      </c>
      <c r="B147" s="2" t="s">
        <v>534</v>
      </c>
      <c r="C147" s="2" t="s">
        <v>311</v>
      </c>
      <c r="D147" s="2">
        <v>1437.0</v>
      </c>
      <c r="E147" s="5">
        <v>46057.0</v>
      </c>
      <c r="F147" s="5">
        <v>46084.0</v>
      </c>
      <c r="G147" s="8">
        <v>1510370.0</v>
      </c>
      <c r="H147" s="8">
        <v>1038021.0</v>
      </c>
      <c r="I147" s="8" t="s">
        <v>535</v>
      </c>
    </row>
    <row r="148" ht="22.5" customHeight="1">
      <c r="A148" s="2">
        <v>147.0</v>
      </c>
      <c r="B148" s="2" t="s">
        <v>534</v>
      </c>
      <c r="C148" s="2" t="s">
        <v>311</v>
      </c>
      <c r="D148" s="2">
        <v>1437.0</v>
      </c>
      <c r="E148" s="5">
        <v>46057.0</v>
      </c>
      <c r="F148" s="5">
        <v>46084.0</v>
      </c>
      <c r="G148" s="8">
        <v>1510370.0</v>
      </c>
      <c r="H148" s="8">
        <v>1038021.0</v>
      </c>
      <c r="I148" s="8" t="s">
        <v>535</v>
      </c>
    </row>
    <row r="149" ht="22.5" customHeight="1">
      <c r="A149" s="2">
        <v>148.0</v>
      </c>
      <c r="B149" s="2" t="s">
        <v>534</v>
      </c>
      <c r="C149" s="2" t="s">
        <v>311</v>
      </c>
      <c r="D149" s="2">
        <v>1437.0</v>
      </c>
      <c r="E149" s="5">
        <v>46057.0</v>
      </c>
      <c r="F149" s="5">
        <v>46084.0</v>
      </c>
      <c r="G149" s="8">
        <v>1510370.0</v>
      </c>
      <c r="H149" s="8">
        <v>1038021.0</v>
      </c>
      <c r="I149" s="8" t="s">
        <v>535</v>
      </c>
    </row>
    <row r="150" ht="22.5" customHeight="1">
      <c r="A150" s="2">
        <v>149.0</v>
      </c>
      <c r="B150" s="2" t="s">
        <v>536</v>
      </c>
      <c r="C150" s="2" t="s">
        <v>276</v>
      </c>
      <c r="D150" s="2">
        <v>1221.0</v>
      </c>
      <c r="E150" s="5">
        <v>46057.0</v>
      </c>
      <c r="F150" s="5">
        <v>46115.0</v>
      </c>
      <c r="G150" s="8">
        <v>1179035.0</v>
      </c>
      <c r="H150" s="8">
        <v>822253.0</v>
      </c>
      <c r="I150" s="2" t="s">
        <v>537</v>
      </c>
    </row>
    <row r="151" ht="22.5" customHeight="1">
      <c r="A151" s="2">
        <v>150.0</v>
      </c>
      <c r="B151" s="2" t="s">
        <v>538</v>
      </c>
      <c r="C151" s="2" t="s">
        <v>317</v>
      </c>
      <c r="D151" s="2">
        <v>2156.0</v>
      </c>
      <c r="E151" s="5">
        <v>46148.0</v>
      </c>
      <c r="F151" s="5">
        <v>46027.0</v>
      </c>
      <c r="G151" s="2">
        <v>14014.0</v>
      </c>
      <c r="H151" s="2" t="s">
        <v>539</v>
      </c>
      <c r="I151" s="8">
        <v>408433.0</v>
      </c>
    </row>
    <row r="152" ht="22.5" customHeight="1">
      <c r="A152" s="2">
        <v>151.0</v>
      </c>
      <c r="B152" s="2" t="s">
        <v>538</v>
      </c>
      <c r="C152" s="2" t="s">
        <v>276</v>
      </c>
      <c r="D152" s="2">
        <v>3337.0</v>
      </c>
      <c r="E152" s="5">
        <v>46057.0</v>
      </c>
      <c r="F152" s="5">
        <v>46115.0</v>
      </c>
      <c r="G152" s="2" t="s">
        <v>540</v>
      </c>
      <c r="H152" s="2" t="s">
        <v>541</v>
      </c>
      <c r="I152" s="8">
        <v>281025.0</v>
      </c>
    </row>
    <row r="153" ht="22.5" customHeight="1">
      <c r="A153" s="2">
        <v>152.0</v>
      </c>
      <c r="B153" s="2" t="s">
        <v>542</v>
      </c>
      <c r="C153" s="2" t="s">
        <v>291</v>
      </c>
      <c r="D153" s="2">
        <v>12692.0</v>
      </c>
      <c r="E153" s="5">
        <v>46240.0</v>
      </c>
      <c r="F153" s="5">
        <v>46027.0</v>
      </c>
      <c r="G153" s="2" t="s">
        <v>543</v>
      </c>
      <c r="H153" s="2" t="s">
        <v>544</v>
      </c>
      <c r="I153" s="2" t="s">
        <v>545</v>
      </c>
    </row>
    <row r="154" ht="22.5" customHeight="1">
      <c r="A154" s="2">
        <v>153.0</v>
      </c>
      <c r="B154" s="2" t="s">
        <v>542</v>
      </c>
      <c r="C154" s="2" t="s">
        <v>291</v>
      </c>
      <c r="D154" s="2">
        <v>12692.0</v>
      </c>
      <c r="E154" s="5">
        <v>46240.0</v>
      </c>
      <c r="F154" s="5">
        <v>46027.0</v>
      </c>
      <c r="G154" s="2" t="s">
        <v>543</v>
      </c>
      <c r="H154" s="2" t="s">
        <v>544</v>
      </c>
      <c r="I154" s="2" t="s">
        <v>545</v>
      </c>
    </row>
    <row r="155" ht="22.5" customHeight="1">
      <c r="A155" s="2">
        <v>154.0</v>
      </c>
      <c r="B155" s="2" t="s">
        <v>546</v>
      </c>
      <c r="C155" s="2" t="s">
        <v>311</v>
      </c>
      <c r="D155" s="2">
        <v>1708.0</v>
      </c>
      <c r="E155" s="5">
        <v>46057.0</v>
      </c>
      <c r="F155" s="5">
        <v>46084.0</v>
      </c>
      <c r="G155" s="8">
        <v>1926077.0</v>
      </c>
      <c r="H155" s="8">
        <v>1364639.0</v>
      </c>
      <c r="I155" s="8" t="s">
        <v>547</v>
      </c>
    </row>
    <row r="156" ht="22.5" customHeight="1">
      <c r="A156" s="2">
        <v>155.0</v>
      </c>
      <c r="B156" s="2" t="s">
        <v>546</v>
      </c>
      <c r="C156" s="2" t="s">
        <v>291</v>
      </c>
      <c r="D156" s="2">
        <v>1055.0</v>
      </c>
      <c r="E156" s="5">
        <v>46240.0</v>
      </c>
      <c r="F156" s="5">
        <v>46027.0</v>
      </c>
      <c r="G156" s="2">
        <v>7174.0</v>
      </c>
      <c r="H156" s="8">
        <v>1271167.0</v>
      </c>
      <c r="I156" s="8" t="s">
        <v>548</v>
      </c>
    </row>
    <row r="157" ht="22.5" customHeight="1">
      <c r="A157" s="2">
        <v>156.0</v>
      </c>
      <c r="B157" s="2" t="s">
        <v>546</v>
      </c>
      <c r="C157" s="2" t="s">
        <v>311</v>
      </c>
      <c r="D157" s="2">
        <v>1707.0</v>
      </c>
      <c r="E157" s="5">
        <v>46057.0</v>
      </c>
      <c r="F157" s="5">
        <v>46084.0</v>
      </c>
      <c r="G157" s="8">
        <v>1924555.0</v>
      </c>
      <c r="H157" s="8">
        <v>1363453.0</v>
      </c>
      <c r="I157" s="8" t="s">
        <v>549</v>
      </c>
    </row>
    <row r="158" ht="22.5" customHeight="1">
      <c r="A158" s="2">
        <v>157.0</v>
      </c>
      <c r="B158" s="2" t="s">
        <v>550</v>
      </c>
      <c r="C158" s="2" t="s">
        <v>272</v>
      </c>
      <c r="D158" s="2">
        <v>868.0</v>
      </c>
      <c r="E158" s="5">
        <v>46236.0</v>
      </c>
      <c r="F158" s="5">
        <v>46144.0</v>
      </c>
      <c r="G158" s="8">
        <v>193671.0</v>
      </c>
      <c r="H158" s="7">
        <v>2170.0</v>
      </c>
      <c r="I158" s="2" t="s">
        <v>551</v>
      </c>
    </row>
    <row r="159" ht="22.5" customHeight="1">
      <c r="A159" s="2">
        <v>158.0</v>
      </c>
      <c r="B159" s="2" t="s">
        <v>550</v>
      </c>
      <c r="C159" s="2" t="s">
        <v>317</v>
      </c>
      <c r="D159" s="2">
        <v>374.0</v>
      </c>
      <c r="E159" s="5">
        <v>46148.0</v>
      </c>
      <c r="F159" s="5">
        <v>46027.0</v>
      </c>
      <c r="G159" s="2">
        <v>2431.0</v>
      </c>
      <c r="H159" s="8">
        <v>2648.0</v>
      </c>
      <c r="I159" s="2" t="s">
        <v>552</v>
      </c>
    </row>
    <row r="160" ht="22.5" customHeight="1">
      <c r="A160" s="2">
        <v>159.0</v>
      </c>
      <c r="B160" s="2" t="s">
        <v>550</v>
      </c>
      <c r="C160" s="2" t="s">
        <v>317</v>
      </c>
      <c r="D160" s="2">
        <v>373.0</v>
      </c>
      <c r="E160" s="5">
        <v>46148.0</v>
      </c>
      <c r="F160" s="5">
        <v>46027.0</v>
      </c>
      <c r="G160" s="8">
        <v>191510.0</v>
      </c>
      <c r="H160" s="8">
        <v>791.0</v>
      </c>
      <c r="I160" s="2" t="s">
        <v>553</v>
      </c>
    </row>
    <row r="161" ht="22.5" customHeight="1">
      <c r="A161" s="2">
        <v>160.0</v>
      </c>
      <c r="B161" s="2" t="s">
        <v>554</v>
      </c>
      <c r="C161" s="2" t="s">
        <v>272</v>
      </c>
      <c r="D161" s="2">
        <v>2290.0</v>
      </c>
      <c r="E161" s="5">
        <v>46236.0</v>
      </c>
      <c r="F161" s="5">
        <v>46144.0</v>
      </c>
      <c r="G161" s="2">
        <v>6412.0</v>
      </c>
      <c r="H161" s="7">
        <v>5725.0</v>
      </c>
      <c r="I161" s="2">
        <v>687.0</v>
      </c>
    </row>
    <row r="162" ht="22.5" customHeight="1">
      <c r="A162" s="2">
        <v>161.0</v>
      </c>
      <c r="B162" s="2" t="s">
        <v>555</v>
      </c>
      <c r="C162" s="2" t="s">
        <v>276</v>
      </c>
      <c r="D162" s="2">
        <v>1296.0</v>
      </c>
      <c r="E162" s="5">
        <v>46057.0</v>
      </c>
      <c r="F162" s="5">
        <v>46115.0</v>
      </c>
      <c r="G162" s="8">
        <v>1294087.0</v>
      </c>
      <c r="H162" s="8">
        <v>915390.0</v>
      </c>
      <c r="I162" s="8" t="s">
        <v>556</v>
      </c>
    </row>
    <row r="163" ht="22.5" customHeight="1">
      <c r="A163" s="2">
        <v>162.0</v>
      </c>
      <c r="B163" s="2" t="s">
        <v>555</v>
      </c>
      <c r="C163" s="2" t="s">
        <v>276</v>
      </c>
      <c r="D163" s="2">
        <v>1297.0</v>
      </c>
      <c r="E163" s="5">
        <v>46057.0</v>
      </c>
      <c r="F163" s="5">
        <v>46115.0</v>
      </c>
      <c r="G163" s="8">
        <v>1295607.0</v>
      </c>
      <c r="H163" s="8">
        <v>916608.0</v>
      </c>
      <c r="I163" s="8" t="s">
        <v>557</v>
      </c>
    </row>
    <row r="164" ht="22.5" customHeight="1">
      <c r="A164" s="2">
        <v>163.0</v>
      </c>
      <c r="B164" s="2" t="s">
        <v>555</v>
      </c>
      <c r="C164" s="2" t="s">
        <v>272</v>
      </c>
      <c r="D164" s="2">
        <v>1944.0</v>
      </c>
      <c r="E164" s="5">
        <v>46236.0</v>
      </c>
      <c r="F164" s="5">
        <v>46144.0</v>
      </c>
      <c r="G164" s="8">
        <v>1294087.0</v>
      </c>
      <c r="H164" s="7">
        <v>4860.0</v>
      </c>
      <c r="I164" s="2" t="s">
        <v>558</v>
      </c>
    </row>
    <row r="165" ht="22.5" customHeight="1">
      <c r="A165" s="2">
        <v>164.0</v>
      </c>
      <c r="B165" s="2" t="s">
        <v>559</v>
      </c>
      <c r="C165" s="2" t="s">
        <v>317</v>
      </c>
      <c r="D165" s="2">
        <v>485.0</v>
      </c>
      <c r="E165" s="5">
        <v>46148.0</v>
      </c>
      <c r="F165" s="5">
        <v>46027.0</v>
      </c>
      <c r="G165" s="8">
        <v>457406.0</v>
      </c>
      <c r="H165" s="8">
        <v>209407.0</v>
      </c>
      <c r="I165" s="2">
        <v>679.0</v>
      </c>
    </row>
    <row r="166" ht="22.5" customHeight="1">
      <c r="A166" s="2">
        <v>165.0</v>
      </c>
      <c r="B166" s="2" t="s">
        <v>559</v>
      </c>
      <c r="C166" s="2" t="s">
        <v>272</v>
      </c>
      <c r="D166" s="2">
        <v>1127.0</v>
      </c>
      <c r="E166" s="5">
        <v>46236.0</v>
      </c>
      <c r="F166" s="5">
        <v>46144.0</v>
      </c>
      <c r="G166" s="8">
        <v>458532.0</v>
      </c>
      <c r="H166" s="8">
        <v>335050.0</v>
      </c>
      <c r="I166" s="2" t="s">
        <v>560</v>
      </c>
    </row>
    <row r="167" ht="22.5" customHeight="1">
      <c r="A167" s="2">
        <v>166.0</v>
      </c>
      <c r="B167" s="2" t="s">
        <v>559</v>
      </c>
      <c r="C167" s="2" t="s">
        <v>272</v>
      </c>
      <c r="D167" s="2">
        <v>1126.0</v>
      </c>
      <c r="E167" s="5">
        <v>46236.0</v>
      </c>
      <c r="F167" s="5">
        <v>46144.0</v>
      </c>
      <c r="G167" s="8">
        <v>457498.0</v>
      </c>
      <c r="H167" s="7">
        <v>2815.0</v>
      </c>
      <c r="I167" s="2" t="s">
        <v>561</v>
      </c>
    </row>
    <row r="168" ht="22.5" customHeight="1">
      <c r="A168" s="2">
        <v>167.0</v>
      </c>
      <c r="B168" s="2" t="s">
        <v>562</v>
      </c>
      <c r="C168" s="2" t="s">
        <v>276</v>
      </c>
      <c r="D168" s="2">
        <v>771.0</v>
      </c>
      <c r="E168" s="5">
        <v>46057.0</v>
      </c>
      <c r="F168" s="5">
        <v>46115.0</v>
      </c>
      <c r="G168" s="8">
        <v>488728.0</v>
      </c>
      <c r="H168" s="8">
        <v>263432.0</v>
      </c>
      <c r="I168" s="2" t="s">
        <v>563</v>
      </c>
    </row>
    <row r="169" ht="22.5" customHeight="1">
      <c r="A169" s="2">
        <v>168.0</v>
      </c>
      <c r="B169" s="2" t="s">
        <v>562</v>
      </c>
      <c r="C169" s="2" t="s">
        <v>276</v>
      </c>
      <c r="D169" s="2">
        <v>770.0</v>
      </c>
      <c r="E169" s="5">
        <v>46057.0</v>
      </c>
      <c r="F169" s="5">
        <v>46115.0</v>
      </c>
      <c r="G169" s="2">
        <v>3234.0</v>
      </c>
      <c r="H169" s="7">
        <v>2618.0</v>
      </c>
      <c r="I169" s="2">
        <v>616.0</v>
      </c>
    </row>
    <row r="170" ht="22.5" customHeight="1">
      <c r="A170" s="2">
        <v>169.0</v>
      </c>
      <c r="B170" s="2" t="s">
        <v>562</v>
      </c>
      <c r="C170" s="2" t="s">
        <v>276</v>
      </c>
      <c r="D170" s="2">
        <v>771.0</v>
      </c>
      <c r="E170" s="5">
        <v>46057.0</v>
      </c>
      <c r="F170" s="5">
        <v>46115.0</v>
      </c>
      <c r="G170" s="8">
        <v>488728.0</v>
      </c>
      <c r="H170" s="8">
        <v>263432.0</v>
      </c>
      <c r="I170" s="2" t="s">
        <v>563</v>
      </c>
    </row>
    <row r="171" ht="22.5" customHeight="1">
      <c r="A171" s="2">
        <v>170.0</v>
      </c>
      <c r="B171" s="2" t="s">
        <v>564</v>
      </c>
      <c r="C171" s="2" t="s">
        <v>272</v>
      </c>
      <c r="D171" s="2">
        <v>2604.0</v>
      </c>
      <c r="E171" s="5">
        <v>46236.0</v>
      </c>
      <c r="F171" s="5">
        <v>46144.0</v>
      </c>
      <c r="G171" s="8">
        <v>1969056.0</v>
      </c>
      <c r="H171" s="7">
        <v>6510.0</v>
      </c>
      <c r="I171" s="2" t="s">
        <v>565</v>
      </c>
    </row>
    <row r="172" ht="22.5" customHeight="1">
      <c r="A172" s="2">
        <v>171.0</v>
      </c>
      <c r="B172" s="2" t="s">
        <v>564</v>
      </c>
      <c r="C172" s="2" t="s">
        <v>276</v>
      </c>
      <c r="D172" s="2">
        <v>1736.0</v>
      </c>
      <c r="E172" s="5">
        <v>46057.0</v>
      </c>
      <c r="F172" s="5">
        <v>46115.0</v>
      </c>
      <c r="G172" s="8">
        <v>1969056.0</v>
      </c>
      <c r="H172" s="8">
        <v>1461792.0</v>
      </c>
      <c r="I172" s="8" t="s">
        <v>566</v>
      </c>
    </row>
    <row r="173" ht="22.5" customHeight="1">
      <c r="A173" s="2">
        <v>172.0</v>
      </c>
      <c r="B173" s="2" t="s">
        <v>564</v>
      </c>
      <c r="C173" s="2" t="s">
        <v>276</v>
      </c>
      <c r="D173" s="2">
        <v>1736.0</v>
      </c>
      <c r="E173" s="5">
        <v>46057.0</v>
      </c>
      <c r="F173" s="5">
        <v>46115.0</v>
      </c>
      <c r="G173" s="8">
        <v>1969056.0</v>
      </c>
      <c r="H173" s="8">
        <v>1461792.0</v>
      </c>
      <c r="I173" s="8" t="s">
        <v>566</v>
      </c>
    </row>
    <row r="174" ht="22.5" customHeight="1">
      <c r="A174" s="2">
        <v>173.0</v>
      </c>
      <c r="B174" s="2" t="s">
        <v>567</v>
      </c>
      <c r="C174" s="2" t="s">
        <v>311</v>
      </c>
      <c r="D174" s="2">
        <v>3766.0</v>
      </c>
      <c r="E174" s="5">
        <v>46057.0</v>
      </c>
      <c r="F174" s="5">
        <v>46084.0</v>
      </c>
      <c r="G174" s="2" t="s">
        <v>568</v>
      </c>
      <c r="H174" s="2" t="s">
        <v>569</v>
      </c>
      <c r="I174" s="8">
        <v>543939.0</v>
      </c>
    </row>
    <row r="175" ht="22.5" customHeight="1">
      <c r="A175" s="2">
        <v>174.0</v>
      </c>
      <c r="B175" s="2" t="s">
        <v>567</v>
      </c>
      <c r="C175" s="2" t="s">
        <v>311</v>
      </c>
      <c r="D175" s="2">
        <v>3766.0</v>
      </c>
      <c r="E175" s="5">
        <v>46057.0</v>
      </c>
      <c r="F175" s="5">
        <v>46084.0</v>
      </c>
      <c r="G175" s="2" t="s">
        <v>568</v>
      </c>
      <c r="H175" s="2" t="s">
        <v>569</v>
      </c>
      <c r="I175" s="8">
        <v>543939.0</v>
      </c>
    </row>
    <row r="176" ht="22.5" customHeight="1">
      <c r="A176" s="2">
        <v>175.0</v>
      </c>
      <c r="B176" s="2" t="s">
        <v>570</v>
      </c>
      <c r="C176" s="2" t="s">
        <v>272</v>
      </c>
      <c r="D176" s="2">
        <v>6593.0</v>
      </c>
      <c r="E176" s="5">
        <v>46236.0</v>
      </c>
      <c r="F176" s="5">
        <v>46144.0</v>
      </c>
      <c r="G176" s="2" t="s">
        <v>571</v>
      </c>
      <c r="H176" s="2" t="s">
        <v>572</v>
      </c>
      <c r="I176" s="8">
        <v>28369.0</v>
      </c>
    </row>
    <row r="177" ht="22.5" customHeight="1">
      <c r="A177" s="2">
        <v>176.0</v>
      </c>
      <c r="B177" s="2" t="s">
        <v>570</v>
      </c>
      <c r="C177" s="2" t="s">
        <v>317</v>
      </c>
      <c r="D177" s="2">
        <v>2840.0</v>
      </c>
      <c r="E177" s="5">
        <v>46148.0</v>
      </c>
      <c r="F177" s="5">
        <v>46027.0</v>
      </c>
      <c r="G177" s="2">
        <v>18460.0</v>
      </c>
      <c r="H177" s="7">
        <v>14484.0</v>
      </c>
      <c r="I177" s="2">
        <v>3976.0</v>
      </c>
    </row>
    <row r="178" ht="22.5" customHeight="1">
      <c r="A178" s="2">
        <v>177.0</v>
      </c>
      <c r="B178" s="2" t="s">
        <v>570</v>
      </c>
      <c r="C178" s="2" t="s">
        <v>272</v>
      </c>
      <c r="D178" s="2">
        <v>6594.0</v>
      </c>
      <c r="E178" s="5">
        <v>46236.0</v>
      </c>
      <c r="F178" s="5">
        <v>46144.0</v>
      </c>
      <c r="G178" s="2" t="s">
        <v>573</v>
      </c>
      <c r="H178" s="7">
        <v>16485.0</v>
      </c>
      <c r="I178" s="8">
        <v>28522.0</v>
      </c>
    </row>
    <row r="179" ht="22.5" customHeight="1">
      <c r="A179" s="2">
        <v>178.0</v>
      </c>
      <c r="B179" s="2" t="s">
        <v>574</v>
      </c>
      <c r="C179" s="2" t="s">
        <v>311</v>
      </c>
      <c r="D179" s="2">
        <v>5751.0</v>
      </c>
      <c r="E179" s="5">
        <v>46057.0</v>
      </c>
      <c r="F179" s="5">
        <v>46084.0</v>
      </c>
      <c r="G179" s="2" t="s">
        <v>575</v>
      </c>
      <c r="H179" s="2" t="s">
        <v>576</v>
      </c>
      <c r="I179" s="8">
        <v>1196414.0</v>
      </c>
    </row>
    <row r="180" ht="22.5" customHeight="1">
      <c r="A180" s="2">
        <v>179.0</v>
      </c>
      <c r="B180" s="2" t="s">
        <v>574</v>
      </c>
      <c r="C180" s="2" t="s">
        <v>311</v>
      </c>
      <c r="D180" s="2">
        <v>5752.0</v>
      </c>
      <c r="E180" s="5">
        <v>46057.0</v>
      </c>
      <c r="F180" s="5">
        <v>46084.0</v>
      </c>
      <c r="G180" s="2" t="s">
        <v>577</v>
      </c>
      <c r="H180" s="2" t="s">
        <v>578</v>
      </c>
      <c r="I180" s="8">
        <v>1196749.0</v>
      </c>
    </row>
    <row r="181" ht="22.5" customHeight="1">
      <c r="A181" s="2">
        <v>180.0</v>
      </c>
      <c r="B181" s="2" t="s">
        <v>574</v>
      </c>
      <c r="C181" s="2" t="s">
        <v>311</v>
      </c>
      <c r="D181" s="2">
        <v>5751.0</v>
      </c>
      <c r="E181" s="5">
        <v>46057.0</v>
      </c>
      <c r="F181" s="5">
        <v>46084.0</v>
      </c>
      <c r="G181" s="2" t="s">
        <v>575</v>
      </c>
      <c r="H181" s="2" t="s">
        <v>576</v>
      </c>
      <c r="I181" s="8">
        <v>1196414.0</v>
      </c>
    </row>
    <row r="182" ht="22.5" customHeight="1">
      <c r="A182" s="2">
        <v>181.0</v>
      </c>
      <c r="B182" s="2" t="s">
        <v>579</v>
      </c>
      <c r="C182" s="2" t="s">
        <v>317</v>
      </c>
      <c r="D182" s="2">
        <v>13257.0</v>
      </c>
      <c r="E182" s="5">
        <v>46148.0</v>
      </c>
      <c r="F182" s="5">
        <v>46027.0</v>
      </c>
      <c r="G182" s="2" t="s">
        <v>580</v>
      </c>
      <c r="H182" s="2" t="s">
        <v>581</v>
      </c>
      <c r="I182" s="2" t="s">
        <v>582</v>
      </c>
    </row>
    <row r="183" ht="22.5" customHeight="1">
      <c r="A183" s="2">
        <v>182.0</v>
      </c>
      <c r="B183" s="2" t="s">
        <v>583</v>
      </c>
      <c r="C183" s="2" t="s">
        <v>272</v>
      </c>
      <c r="D183" s="2">
        <v>887.0</v>
      </c>
      <c r="E183" s="5">
        <v>46236.0</v>
      </c>
      <c r="F183" s="5">
        <v>46144.0</v>
      </c>
      <c r="G183" s="8">
        <v>213090.0</v>
      </c>
      <c r="H183" s="8">
        <v>115904.0</v>
      </c>
      <c r="I183" s="2" t="s">
        <v>584</v>
      </c>
    </row>
    <row r="184" ht="22.5" customHeight="1">
      <c r="A184" s="2">
        <v>183.0</v>
      </c>
      <c r="B184" s="2" t="s">
        <v>583</v>
      </c>
      <c r="C184" s="2" t="s">
        <v>276</v>
      </c>
      <c r="D184" s="2">
        <v>591.0</v>
      </c>
      <c r="E184" s="5">
        <v>46057.0</v>
      </c>
      <c r="F184" s="5">
        <v>46115.0</v>
      </c>
      <c r="G184" s="8">
        <v>212605.0</v>
      </c>
      <c r="H184" s="8">
        <v>39904.0</v>
      </c>
      <c r="I184" s="2" t="s">
        <v>585</v>
      </c>
    </row>
    <row r="185" ht="22.5" customHeight="1">
      <c r="A185" s="2">
        <v>184.0</v>
      </c>
      <c r="B185" s="2" t="s">
        <v>583</v>
      </c>
      <c r="C185" s="2" t="s">
        <v>272</v>
      </c>
      <c r="D185" s="2">
        <v>887.0</v>
      </c>
      <c r="E185" s="5">
        <v>46236.0</v>
      </c>
      <c r="F185" s="5">
        <v>46144.0</v>
      </c>
      <c r="G185" s="8">
        <v>213090.0</v>
      </c>
      <c r="H185" s="8">
        <v>115904.0</v>
      </c>
      <c r="I185" s="2" t="s">
        <v>584</v>
      </c>
    </row>
    <row r="186" ht="22.5" customHeight="1">
      <c r="A186" s="2">
        <v>185.0</v>
      </c>
      <c r="B186" s="2" t="s">
        <v>586</v>
      </c>
      <c r="C186" s="2" t="s">
        <v>272</v>
      </c>
      <c r="D186" s="2">
        <v>16938.0</v>
      </c>
      <c r="E186" s="5">
        <v>46236.0</v>
      </c>
      <c r="F186" s="5">
        <v>46144.0</v>
      </c>
      <c r="G186" s="2" t="s">
        <v>587</v>
      </c>
      <c r="H186" s="7">
        <v>42345.0</v>
      </c>
      <c r="I186" s="8">
        <v>1161929.0</v>
      </c>
    </row>
    <row r="187" ht="22.5" customHeight="1">
      <c r="A187" s="2">
        <v>186.0</v>
      </c>
      <c r="B187" s="2" t="s">
        <v>588</v>
      </c>
      <c r="C187" s="2" t="s">
        <v>278</v>
      </c>
      <c r="D187" s="2">
        <v>1472.0</v>
      </c>
      <c r="E187" s="5">
        <v>46115.0</v>
      </c>
      <c r="F187" s="2" t="s">
        <v>279</v>
      </c>
      <c r="G187" s="8">
        <v>1133927.0</v>
      </c>
      <c r="H187" s="8">
        <v>838265.0</v>
      </c>
      <c r="I187" s="2" t="s">
        <v>589</v>
      </c>
    </row>
    <row r="188" ht="22.5" customHeight="1">
      <c r="A188" s="2">
        <v>187.0</v>
      </c>
      <c r="B188" s="2" t="s">
        <v>588</v>
      </c>
      <c r="C188" s="2" t="s">
        <v>278</v>
      </c>
      <c r="D188" s="2">
        <v>1471.0</v>
      </c>
      <c r="E188" s="5">
        <v>46115.0</v>
      </c>
      <c r="F188" s="2" t="s">
        <v>279</v>
      </c>
      <c r="G188" s="8">
        <v>1132709.0</v>
      </c>
      <c r="H188" s="2" t="s">
        <v>590</v>
      </c>
      <c r="I188" s="2" t="s">
        <v>591</v>
      </c>
    </row>
    <row r="189" ht="22.5" customHeight="1">
      <c r="A189" s="2">
        <v>188.0</v>
      </c>
      <c r="B189" s="2" t="s">
        <v>592</v>
      </c>
      <c r="C189" s="2" t="s">
        <v>272</v>
      </c>
      <c r="D189" s="2">
        <v>1703.0</v>
      </c>
      <c r="E189" s="5">
        <v>46236.0</v>
      </c>
      <c r="F189" s="5">
        <v>46144.0</v>
      </c>
      <c r="G189" s="8">
        <v>1047608.0</v>
      </c>
      <c r="H189" s="8">
        <v>860999.0</v>
      </c>
      <c r="I189" s="2" t="s">
        <v>593</v>
      </c>
    </row>
    <row r="190" ht="22.5" customHeight="1">
      <c r="A190" s="2">
        <v>189.0</v>
      </c>
      <c r="B190" s="2" t="s">
        <v>592</v>
      </c>
      <c r="C190" s="2" t="s">
        <v>317</v>
      </c>
      <c r="D190" s="2">
        <v>734.0</v>
      </c>
      <c r="E190" s="5">
        <v>46148.0</v>
      </c>
      <c r="F190" s="5">
        <v>46027.0</v>
      </c>
      <c r="G190" s="2">
        <v>4771.0</v>
      </c>
      <c r="H190" s="8">
        <v>673234.0</v>
      </c>
      <c r="I190" s="8" t="s">
        <v>594</v>
      </c>
    </row>
    <row r="191" ht="22.5" customHeight="1">
      <c r="A191" s="2">
        <v>190.0</v>
      </c>
      <c r="B191" s="2" t="s">
        <v>595</v>
      </c>
      <c r="C191" s="2" t="s">
        <v>317</v>
      </c>
      <c r="D191" s="2">
        <v>420.0</v>
      </c>
      <c r="E191" s="5">
        <v>46148.0</v>
      </c>
      <c r="F191" s="5">
        <v>46027.0</v>
      </c>
      <c r="G191" s="2">
        <v>2730.0</v>
      </c>
      <c r="H191" s="7">
        <v>2142.0</v>
      </c>
      <c r="I191" s="2">
        <v>588.0</v>
      </c>
    </row>
    <row r="192" ht="22.5" customHeight="1">
      <c r="A192" s="2">
        <v>191.0</v>
      </c>
      <c r="B192" s="2" t="s">
        <v>595</v>
      </c>
      <c r="C192" s="2" t="s">
        <v>276</v>
      </c>
      <c r="D192" s="2">
        <v>651.0</v>
      </c>
      <c r="E192" s="5">
        <v>46057.0</v>
      </c>
      <c r="F192" s="5">
        <v>46115.0</v>
      </c>
      <c r="G192" s="8">
        <v>304645.0</v>
      </c>
      <c r="H192" s="8">
        <v>114413.0</v>
      </c>
      <c r="I192" s="2" t="s">
        <v>596</v>
      </c>
    </row>
    <row r="193" ht="22.5" customHeight="1">
      <c r="A193" s="2">
        <v>192.0</v>
      </c>
      <c r="B193" s="2" t="s">
        <v>595</v>
      </c>
      <c r="C193" s="2" t="s">
        <v>317</v>
      </c>
      <c r="D193" s="2">
        <v>421.0</v>
      </c>
      <c r="E193" s="5">
        <v>46148.0</v>
      </c>
      <c r="F193" s="5">
        <v>46027.0</v>
      </c>
      <c r="G193" s="8">
        <v>305465.0</v>
      </c>
      <c r="H193" s="8">
        <v>90217.0</v>
      </c>
      <c r="I193" s="2" t="s">
        <v>597</v>
      </c>
    </row>
    <row r="194" ht="22.5" customHeight="1">
      <c r="A194" s="2">
        <v>193.0</v>
      </c>
      <c r="B194" s="2" t="s">
        <v>598</v>
      </c>
      <c r="C194" s="2" t="s">
        <v>272</v>
      </c>
      <c r="D194" s="2">
        <v>5431.0</v>
      </c>
      <c r="E194" s="5">
        <v>46236.0</v>
      </c>
      <c r="F194" s="5">
        <v>46144.0</v>
      </c>
      <c r="G194" s="2" t="s">
        <v>599</v>
      </c>
      <c r="H194" s="2" t="s">
        <v>600</v>
      </c>
      <c r="I194" s="8" t="s">
        <v>601</v>
      </c>
    </row>
    <row r="195" ht="22.5" customHeight="1">
      <c r="A195" s="2">
        <v>194.0</v>
      </c>
      <c r="B195" s="2" t="s">
        <v>598</v>
      </c>
      <c r="C195" s="2" t="s">
        <v>272</v>
      </c>
      <c r="D195" s="2">
        <v>5431.0</v>
      </c>
      <c r="E195" s="5">
        <v>46236.0</v>
      </c>
      <c r="F195" s="5">
        <v>46144.0</v>
      </c>
      <c r="G195" s="2" t="s">
        <v>599</v>
      </c>
      <c r="H195" s="2" t="s">
        <v>600</v>
      </c>
      <c r="I195" s="8" t="s">
        <v>601</v>
      </c>
    </row>
    <row r="196" ht="22.5" customHeight="1">
      <c r="A196" s="2">
        <v>195.0</v>
      </c>
      <c r="B196" s="2" t="s">
        <v>602</v>
      </c>
      <c r="C196" s="2" t="s">
        <v>311</v>
      </c>
      <c r="D196" s="2">
        <v>496.0</v>
      </c>
      <c r="E196" s="5">
        <v>46057.0</v>
      </c>
      <c r="F196" s="5">
        <v>46084.0</v>
      </c>
      <c r="G196" s="8">
        <v>66873.0</v>
      </c>
      <c r="H196" s="8" t="s">
        <v>603</v>
      </c>
      <c r="I196" s="2" t="s">
        <v>604</v>
      </c>
    </row>
    <row r="197" ht="22.5" customHeight="1">
      <c r="A197" s="2">
        <v>196.0</v>
      </c>
      <c r="B197" s="2" t="s">
        <v>602</v>
      </c>
      <c r="C197" s="2" t="s">
        <v>311</v>
      </c>
      <c r="D197" s="2">
        <v>495.0</v>
      </c>
      <c r="E197" s="5">
        <v>46057.0</v>
      </c>
      <c r="F197" s="5">
        <v>46084.0</v>
      </c>
      <c r="G197" s="2">
        <v>2079.0</v>
      </c>
      <c r="H197" s="8" t="s">
        <v>605</v>
      </c>
      <c r="I197" s="2" t="s">
        <v>606</v>
      </c>
    </row>
    <row r="198" ht="22.5" customHeight="1">
      <c r="A198" s="2">
        <v>197.0</v>
      </c>
      <c r="B198" s="2" t="s">
        <v>602</v>
      </c>
      <c r="C198" s="2" t="s">
        <v>311</v>
      </c>
      <c r="D198" s="2">
        <v>496.0</v>
      </c>
      <c r="E198" s="5">
        <v>46057.0</v>
      </c>
      <c r="F198" s="5">
        <v>46084.0</v>
      </c>
      <c r="G198" s="8">
        <v>66873.0</v>
      </c>
      <c r="H198" s="8" t="s">
        <v>603</v>
      </c>
      <c r="I198" s="2" t="s">
        <v>604</v>
      </c>
    </row>
    <row r="199" ht="22.5" customHeight="1">
      <c r="A199" s="2">
        <v>198.0</v>
      </c>
      <c r="B199" s="2" t="s">
        <v>607</v>
      </c>
      <c r="C199" s="2" t="s">
        <v>317</v>
      </c>
      <c r="D199" s="2">
        <v>1208.0</v>
      </c>
      <c r="E199" s="5">
        <v>46148.0</v>
      </c>
      <c r="F199" s="5">
        <v>46027.0</v>
      </c>
      <c r="G199" s="2">
        <v>7852.0</v>
      </c>
      <c r="H199" s="8">
        <v>1556148.0</v>
      </c>
      <c r="I199" s="8" t="s">
        <v>608</v>
      </c>
    </row>
    <row r="200" ht="22.5" customHeight="1">
      <c r="A200" s="2">
        <v>199.0</v>
      </c>
      <c r="B200" s="2" t="s">
        <v>607</v>
      </c>
      <c r="C200" s="2" t="s">
        <v>276</v>
      </c>
      <c r="D200" s="2">
        <v>1870.0</v>
      </c>
      <c r="E200" s="5">
        <v>46057.0</v>
      </c>
      <c r="F200" s="5">
        <v>46115.0</v>
      </c>
      <c r="G200" s="2">
        <v>7854.0</v>
      </c>
      <c r="H200" s="7">
        <v>6358.0</v>
      </c>
      <c r="I200" s="2">
        <v>1496.0</v>
      </c>
    </row>
    <row r="201" ht="22.5" customHeight="1">
      <c r="A201" s="2">
        <v>200.0</v>
      </c>
      <c r="B201" s="2" t="s">
        <v>609</v>
      </c>
      <c r="C201" s="2" t="s">
        <v>276</v>
      </c>
      <c r="D201" s="2">
        <v>12068.0</v>
      </c>
      <c r="E201" s="5">
        <v>46057.0</v>
      </c>
      <c r="F201" s="5">
        <v>46115.0</v>
      </c>
      <c r="G201" s="2" t="s">
        <v>610</v>
      </c>
      <c r="H201" s="2" t="s">
        <v>611</v>
      </c>
      <c r="I201" s="8">
        <v>2832183.0</v>
      </c>
    </row>
    <row r="202" ht="22.5" customHeight="1">
      <c r="A202" s="2">
        <v>201.0</v>
      </c>
      <c r="B202" s="2" t="s">
        <v>612</v>
      </c>
      <c r="C202" s="2" t="s">
        <v>276</v>
      </c>
      <c r="D202" s="2">
        <v>2459.0</v>
      </c>
      <c r="E202" s="5">
        <v>46057.0</v>
      </c>
      <c r="F202" s="5">
        <v>46115.0</v>
      </c>
      <c r="G202" s="2" t="s">
        <v>613</v>
      </c>
      <c r="H202" s="8">
        <v>2359620.0</v>
      </c>
      <c r="I202" s="8">
        <v>24504.0</v>
      </c>
    </row>
    <row r="203" ht="22.5" customHeight="1">
      <c r="A203" s="2">
        <v>202.0</v>
      </c>
      <c r="B203" s="2" t="s">
        <v>612</v>
      </c>
      <c r="C203" s="2" t="s">
        <v>276</v>
      </c>
      <c r="D203" s="2">
        <v>2459.0</v>
      </c>
      <c r="E203" s="5">
        <v>46057.0</v>
      </c>
      <c r="F203" s="5">
        <v>46115.0</v>
      </c>
      <c r="G203" s="2" t="s">
        <v>613</v>
      </c>
      <c r="H203" s="8">
        <v>2359620.0</v>
      </c>
      <c r="I203" s="8">
        <v>24504.0</v>
      </c>
    </row>
    <row r="204" ht="22.5" customHeight="1">
      <c r="A204" s="2">
        <v>203.0</v>
      </c>
      <c r="B204" s="2" t="s">
        <v>612</v>
      </c>
      <c r="C204" s="2" t="s">
        <v>272</v>
      </c>
      <c r="D204" s="2">
        <v>3688.0</v>
      </c>
      <c r="E204" s="5">
        <v>46236.0</v>
      </c>
      <c r="F204" s="5">
        <v>46144.0</v>
      </c>
      <c r="G204" s="2" t="s">
        <v>614</v>
      </c>
      <c r="H204" s="7">
        <v>9220.0</v>
      </c>
      <c r="I204" s="8" t="s">
        <v>615</v>
      </c>
    </row>
    <row r="205" ht="22.5" customHeight="1">
      <c r="A205" s="2">
        <v>204.0</v>
      </c>
      <c r="B205" s="2" t="s">
        <v>616</v>
      </c>
      <c r="C205" s="2" t="s">
        <v>287</v>
      </c>
      <c r="D205" s="2">
        <v>1939.0</v>
      </c>
      <c r="E205" s="5">
        <v>46152.0</v>
      </c>
      <c r="F205" s="5">
        <v>46241.0</v>
      </c>
      <c r="G205" s="2" t="s">
        <v>617</v>
      </c>
      <c r="H205" s="2" t="s">
        <v>618</v>
      </c>
      <c r="I205" s="8">
        <v>1218145.0</v>
      </c>
    </row>
    <row r="206" ht="22.5" customHeight="1">
      <c r="A206" s="2">
        <v>205.0</v>
      </c>
      <c r="B206" s="2" t="s">
        <v>616</v>
      </c>
      <c r="C206" s="2" t="s">
        <v>311</v>
      </c>
      <c r="D206" s="2">
        <v>4846.0</v>
      </c>
      <c r="E206" s="5">
        <v>46057.0</v>
      </c>
      <c r="F206" s="5">
        <v>46084.0</v>
      </c>
      <c r="G206" s="2" t="s">
        <v>619</v>
      </c>
      <c r="H206" s="2" t="s">
        <v>620</v>
      </c>
      <c r="I206" s="8">
        <v>898954.0</v>
      </c>
    </row>
    <row r="207" ht="22.5" customHeight="1">
      <c r="A207" s="2">
        <v>206.0</v>
      </c>
      <c r="B207" s="2" t="s">
        <v>621</v>
      </c>
      <c r="C207" s="2" t="s">
        <v>317</v>
      </c>
      <c r="D207" s="2">
        <v>249.0</v>
      </c>
      <c r="E207" s="5">
        <v>46148.0</v>
      </c>
      <c r="F207" s="5">
        <v>46027.0</v>
      </c>
      <c r="G207" s="8" t="s">
        <v>622</v>
      </c>
      <c r="H207" s="8" t="s">
        <v>623</v>
      </c>
      <c r="I207" s="2" t="s">
        <v>624</v>
      </c>
    </row>
    <row r="208" ht="22.5" customHeight="1">
      <c r="A208" s="2">
        <v>207.0</v>
      </c>
      <c r="B208" s="2" t="s">
        <v>621</v>
      </c>
      <c r="C208" s="2" t="s">
        <v>317</v>
      </c>
      <c r="D208" s="2">
        <v>250.0</v>
      </c>
      <c r="E208" s="5">
        <v>46148.0</v>
      </c>
      <c r="F208" s="5">
        <v>46027.0</v>
      </c>
      <c r="G208" s="2">
        <v>1625.0</v>
      </c>
      <c r="H208" s="7">
        <v>1275.0</v>
      </c>
      <c r="I208" s="2">
        <v>350.0</v>
      </c>
    </row>
    <row r="209" ht="22.5" customHeight="1">
      <c r="A209" s="2">
        <v>208.0</v>
      </c>
      <c r="B209" s="2" t="s">
        <v>625</v>
      </c>
      <c r="C209" s="2" t="s">
        <v>317</v>
      </c>
      <c r="D209" s="2">
        <v>1191.0</v>
      </c>
      <c r="E209" s="5">
        <v>46148.0</v>
      </c>
      <c r="F209" s="5">
        <v>46027.0</v>
      </c>
      <c r="G209" s="8">
        <v>2133504.0</v>
      </c>
      <c r="H209" s="8">
        <v>1524525.0</v>
      </c>
      <c r="I209" s="8" t="s">
        <v>626</v>
      </c>
    </row>
    <row r="210" ht="22.5" customHeight="1">
      <c r="A210" s="2">
        <v>209.0</v>
      </c>
      <c r="B210" s="2" t="s">
        <v>627</v>
      </c>
      <c r="C210" s="2" t="s">
        <v>270</v>
      </c>
      <c r="D210" s="2">
        <v>1753.0</v>
      </c>
      <c r="E210" s="5">
        <v>46061.0</v>
      </c>
      <c r="F210" s="5">
        <v>46059.0</v>
      </c>
      <c r="G210" s="2" t="s">
        <v>628</v>
      </c>
      <c r="H210" s="2" t="s">
        <v>629</v>
      </c>
      <c r="I210" s="2">
        <v>3506.0</v>
      </c>
    </row>
    <row r="211" ht="22.5" customHeight="1">
      <c r="A211" s="2">
        <v>210.0</v>
      </c>
      <c r="B211" s="2" t="s">
        <v>627</v>
      </c>
      <c r="C211" s="2" t="s">
        <v>278</v>
      </c>
      <c r="D211" s="2">
        <v>4230.0</v>
      </c>
      <c r="E211" s="5">
        <v>46115.0</v>
      </c>
      <c r="F211" s="2" t="s">
        <v>279</v>
      </c>
      <c r="G211" s="2">
        <v>14382.0</v>
      </c>
      <c r="H211" s="2" t="s">
        <v>630</v>
      </c>
      <c r="I211" s="8">
        <v>155715.0</v>
      </c>
    </row>
    <row r="212" ht="22.5" customHeight="1">
      <c r="A212" s="2">
        <v>211.0</v>
      </c>
      <c r="B212" s="2" t="s">
        <v>631</v>
      </c>
      <c r="C212" s="2" t="s">
        <v>272</v>
      </c>
      <c r="D212" s="2">
        <v>782.0</v>
      </c>
      <c r="E212" s="5">
        <v>46236.0</v>
      </c>
      <c r="F212" s="5">
        <v>46144.0</v>
      </c>
      <c r="G212" s="8">
        <v>105709.0</v>
      </c>
      <c r="H212" s="7">
        <v>1955.0</v>
      </c>
      <c r="I212" s="2" t="s">
        <v>632</v>
      </c>
    </row>
    <row r="213" ht="22.5" customHeight="1">
      <c r="A213" s="2">
        <v>212.0</v>
      </c>
      <c r="B213" s="2" t="s">
        <v>631</v>
      </c>
      <c r="C213" s="2" t="s">
        <v>317</v>
      </c>
      <c r="D213" s="2">
        <v>337.0</v>
      </c>
      <c r="E213" s="5">
        <v>46148.0</v>
      </c>
      <c r="F213" s="5">
        <v>46027.0</v>
      </c>
      <c r="G213" s="8">
        <v>106043.0</v>
      </c>
      <c r="H213" s="8" t="s">
        <v>633</v>
      </c>
      <c r="I213" s="2" t="s">
        <v>634</v>
      </c>
    </row>
    <row r="214" ht="22.5" customHeight="1">
      <c r="A214" s="2">
        <v>213.0</v>
      </c>
      <c r="B214" s="2" t="s">
        <v>631</v>
      </c>
      <c r="C214" s="2" t="s">
        <v>272</v>
      </c>
      <c r="D214" s="2">
        <v>781.0</v>
      </c>
      <c r="E214" s="5">
        <v>46236.0</v>
      </c>
      <c r="F214" s="5">
        <v>46144.0</v>
      </c>
      <c r="G214" s="8">
        <v>104674.0</v>
      </c>
      <c r="H214" s="8">
        <v>19115.0</v>
      </c>
      <c r="I214" s="2" t="s">
        <v>635</v>
      </c>
    </row>
    <row r="215" ht="22.5" customHeight="1">
      <c r="A215" s="2">
        <v>214.0</v>
      </c>
      <c r="B215" s="2" t="s">
        <v>636</v>
      </c>
      <c r="C215" s="2" t="s">
        <v>276</v>
      </c>
      <c r="D215" s="2">
        <v>3437.0</v>
      </c>
      <c r="E215" s="5">
        <v>46057.0</v>
      </c>
      <c r="F215" s="5">
        <v>46115.0</v>
      </c>
      <c r="G215" s="2" t="s">
        <v>637</v>
      </c>
      <c r="H215" s="2" t="s">
        <v>638</v>
      </c>
      <c r="I215" s="8">
        <v>310244.0</v>
      </c>
    </row>
    <row r="216" ht="22.5" customHeight="1">
      <c r="A216" s="2">
        <v>215.0</v>
      </c>
      <c r="B216" s="2" t="s">
        <v>639</v>
      </c>
      <c r="C216" s="2" t="s">
        <v>272</v>
      </c>
      <c r="D216" s="2">
        <v>4069.0</v>
      </c>
      <c r="E216" s="5">
        <v>46236.0</v>
      </c>
      <c r="F216" s="5">
        <v>46144.0</v>
      </c>
      <c r="G216" s="2" t="s">
        <v>640</v>
      </c>
      <c r="H216" s="2" t="s">
        <v>641</v>
      </c>
      <c r="I216" s="8" t="s">
        <v>642</v>
      </c>
    </row>
    <row r="217" ht="22.5" customHeight="1">
      <c r="A217" s="2">
        <v>216.0</v>
      </c>
      <c r="B217" s="2" t="s">
        <v>643</v>
      </c>
      <c r="C217" s="2" t="s">
        <v>272</v>
      </c>
      <c r="D217" s="2">
        <v>1798.0</v>
      </c>
      <c r="E217" s="5">
        <v>46236.0</v>
      </c>
      <c r="F217" s="5">
        <v>46144.0</v>
      </c>
      <c r="G217" s="8">
        <v>1144762.0</v>
      </c>
      <c r="H217" s="7">
        <v>4495.0</v>
      </c>
      <c r="I217" s="2" t="s">
        <v>644</v>
      </c>
    </row>
    <row r="218" ht="22.5" customHeight="1">
      <c r="A218" s="2">
        <v>217.0</v>
      </c>
      <c r="B218" s="2" t="s">
        <v>643</v>
      </c>
      <c r="C218" s="2" t="s">
        <v>272</v>
      </c>
      <c r="D218" s="2">
        <v>1798.0</v>
      </c>
      <c r="E218" s="5">
        <v>46236.0</v>
      </c>
      <c r="F218" s="5">
        <v>46144.0</v>
      </c>
      <c r="G218" s="8">
        <v>1144762.0</v>
      </c>
      <c r="H218" s="7">
        <v>4495.0</v>
      </c>
      <c r="I218" s="2" t="s">
        <v>644</v>
      </c>
    </row>
    <row r="219" ht="22.5" customHeight="1">
      <c r="A219" s="2">
        <v>218.0</v>
      </c>
      <c r="B219" s="2" t="s">
        <v>645</v>
      </c>
      <c r="C219" s="2" t="s">
        <v>276</v>
      </c>
      <c r="D219" s="2">
        <v>2517.0</v>
      </c>
      <c r="E219" s="5">
        <v>46057.0</v>
      </c>
      <c r="F219" s="5">
        <v>46115.0</v>
      </c>
      <c r="G219" s="2" t="s">
        <v>646</v>
      </c>
      <c r="H219" s="8">
        <v>2431634.0</v>
      </c>
      <c r="I219" s="8">
        <v>41426.0</v>
      </c>
    </row>
    <row r="220" ht="22.5" customHeight="1">
      <c r="A220" s="2">
        <v>219.0</v>
      </c>
      <c r="B220" s="2" t="s">
        <v>645</v>
      </c>
      <c r="C220" s="2" t="s">
        <v>276</v>
      </c>
      <c r="D220" s="2">
        <v>2517.0</v>
      </c>
      <c r="E220" s="5">
        <v>46057.0</v>
      </c>
      <c r="F220" s="5">
        <v>46115.0</v>
      </c>
      <c r="G220" s="2" t="s">
        <v>646</v>
      </c>
      <c r="H220" s="8">
        <v>2431634.0</v>
      </c>
      <c r="I220" s="8">
        <v>41426.0</v>
      </c>
    </row>
    <row r="221" ht="22.5" customHeight="1">
      <c r="A221" s="2">
        <v>220.0</v>
      </c>
      <c r="B221" s="2" t="s">
        <v>645</v>
      </c>
      <c r="C221" s="2" t="s">
        <v>272</v>
      </c>
      <c r="D221" s="2">
        <v>3775.0</v>
      </c>
      <c r="E221" s="5">
        <v>46236.0</v>
      </c>
      <c r="F221" s="5">
        <v>46144.0</v>
      </c>
      <c r="G221" s="2">
        <v>10570.0</v>
      </c>
      <c r="H221" s="8">
        <v>2752955.0</v>
      </c>
      <c r="I221" s="8" t="s">
        <v>647</v>
      </c>
    </row>
    <row r="222" ht="22.5" customHeight="1">
      <c r="A222" s="2">
        <v>221.0</v>
      </c>
      <c r="B222" s="2" t="s">
        <v>648</v>
      </c>
      <c r="C222" s="2" t="s">
        <v>311</v>
      </c>
      <c r="D222" s="2">
        <v>14382.0</v>
      </c>
      <c r="E222" s="5">
        <v>46057.0</v>
      </c>
      <c r="F222" s="5">
        <v>46084.0</v>
      </c>
      <c r="G222" s="2" t="s">
        <v>649</v>
      </c>
      <c r="H222" s="2" t="s">
        <v>650</v>
      </c>
      <c r="I222" s="2" t="s">
        <v>651</v>
      </c>
    </row>
    <row r="223" ht="22.5" customHeight="1">
      <c r="A223" s="2">
        <v>222.0</v>
      </c>
      <c r="B223" s="2" t="s">
        <v>648</v>
      </c>
      <c r="C223" s="2" t="s">
        <v>311</v>
      </c>
      <c r="D223" s="2">
        <v>14381.0</v>
      </c>
      <c r="E223" s="5">
        <v>46057.0</v>
      </c>
      <c r="F223" s="5">
        <v>46084.0</v>
      </c>
      <c r="G223" s="2" t="s">
        <v>652</v>
      </c>
      <c r="H223" s="2" t="s">
        <v>653</v>
      </c>
      <c r="I223" s="2" t="s">
        <v>654</v>
      </c>
    </row>
    <row r="224" ht="22.5" customHeight="1">
      <c r="A224" s="2">
        <v>223.0</v>
      </c>
      <c r="B224" s="2" t="s">
        <v>655</v>
      </c>
      <c r="C224" s="2" t="s">
        <v>276</v>
      </c>
      <c r="D224" s="2">
        <v>195.0</v>
      </c>
      <c r="E224" s="5">
        <v>46057.0</v>
      </c>
      <c r="F224" s="5">
        <v>46115.0</v>
      </c>
      <c r="G224" s="2">
        <v>819.0</v>
      </c>
      <c r="H224" s="7">
        <v>663.0</v>
      </c>
      <c r="I224" s="2">
        <v>156.0</v>
      </c>
    </row>
    <row r="225" ht="22.5" customHeight="1">
      <c r="A225" s="2">
        <v>224.0</v>
      </c>
      <c r="B225" s="2" t="s">
        <v>655</v>
      </c>
      <c r="C225" s="2" t="s">
        <v>276</v>
      </c>
      <c r="D225" s="2">
        <v>195.0</v>
      </c>
      <c r="E225" s="5">
        <v>46057.0</v>
      </c>
      <c r="F225" s="5">
        <v>46115.0</v>
      </c>
      <c r="G225" s="2">
        <v>819.0</v>
      </c>
      <c r="H225" s="7">
        <v>663.0</v>
      </c>
      <c r="I225" s="2">
        <v>156.0</v>
      </c>
    </row>
    <row r="226" ht="22.5" customHeight="1">
      <c r="A226" s="2">
        <v>225.0</v>
      </c>
      <c r="B226" s="2" t="s">
        <v>655</v>
      </c>
      <c r="C226" s="2" t="s">
        <v>276</v>
      </c>
      <c r="D226" s="2">
        <v>196.0</v>
      </c>
      <c r="E226" s="5">
        <v>46057.0</v>
      </c>
      <c r="F226" s="5">
        <v>46115.0</v>
      </c>
      <c r="G226" s="2" t="s">
        <v>656</v>
      </c>
      <c r="H226" s="2" t="s">
        <v>657</v>
      </c>
      <c r="I226" s="2" t="s">
        <v>658</v>
      </c>
    </row>
    <row r="227" ht="22.5" customHeight="1">
      <c r="A227" s="2">
        <v>226.0</v>
      </c>
      <c r="B227" s="2" t="s">
        <v>659</v>
      </c>
      <c r="C227" s="2" t="s">
        <v>276</v>
      </c>
      <c r="D227" s="2">
        <v>264.0</v>
      </c>
      <c r="E227" s="5">
        <v>46057.0</v>
      </c>
      <c r="F227" s="5">
        <v>46115.0</v>
      </c>
      <c r="G227" s="8" t="s">
        <v>660</v>
      </c>
      <c r="H227" s="2" t="s">
        <v>661</v>
      </c>
      <c r="I227" s="2" t="s">
        <v>662</v>
      </c>
    </row>
    <row r="228" ht="22.5" customHeight="1">
      <c r="A228" s="2">
        <v>227.0</v>
      </c>
      <c r="B228" s="2" t="s">
        <v>659</v>
      </c>
      <c r="C228" s="2" t="s">
        <v>317</v>
      </c>
      <c r="D228" s="2">
        <v>170.0</v>
      </c>
      <c r="E228" s="5">
        <v>46148.0</v>
      </c>
      <c r="F228" s="5">
        <v>46027.0</v>
      </c>
      <c r="G228" s="2">
        <v>1105.0</v>
      </c>
      <c r="H228" s="7">
        <v>867.0</v>
      </c>
      <c r="I228" s="2">
        <v>238.0</v>
      </c>
    </row>
    <row r="229" ht="22.5" customHeight="1">
      <c r="A229" s="2">
        <v>228.0</v>
      </c>
      <c r="B229" s="2" t="s">
        <v>659</v>
      </c>
      <c r="C229" s="2" t="s">
        <v>276</v>
      </c>
      <c r="D229" s="2">
        <v>265.0</v>
      </c>
      <c r="E229" s="5">
        <v>46057.0</v>
      </c>
      <c r="F229" s="5">
        <v>46115.0</v>
      </c>
      <c r="G229" s="2">
        <v>1113.0</v>
      </c>
      <c r="H229" s="7">
        <v>901.0</v>
      </c>
      <c r="I229" s="2">
        <v>212.0</v>
      </c>
    </row>
    <row r="230" ht="22.5" customHeight="1">
      <c r="A230" s="2">
        <v>229.0</v>
      </c>
      <c r="B230" s="2" t="s">
        <v>663</v>
      </c>
      <c r="C230" s="2" t="s">
        <v>272</v>
      </c>
      <c r="D230" s="2">
        <v>6481.0</v>
      </c>
      <c r="E230" s="5">
        <v>46236.0</v>
      </c>
      <c r="F230" s="5">
        <v>46144.0</v>
      </c>
      <c r="G230" s="2" t="s">
        <v>664</v>
      </c>
      <c r="H230" s="2" t="s">
        <v>665</v>
      </c>
      <c r="I230" s="8">
        <v>16132.0</v>
      </c>
    </row>
    <row r="231" ht="22.5" customHeight="1">
      <c r="A231" s="2">
        <v>230.0</v>
      </c>
      <c r="B231" s="2" t="s">
        <v>666</v>
      </c>
      <c r="C231" s="2" t="s">
        <v>317</v>
      </c>
      <c r="D231" s="2">
        <v>1847.0</v>
      </c>
      <c r="E231" s="5">
        <v>46148.0</v>
      </c>
      <c r="F231" s="5">
        <v>46027.0</v>
      </c>
      <c r="G231" s="2" t="s">
        <v>667</v>
      </c>
      <c r="H231" s="8">
        <v>2746441.0</v>
      </c>
      <c r="I231" s="8">
        <v>250406.0</v>
      </c>
    </row>
    <row r="232" ht="22.5" customHeight="1">
      <c r="A232" s="2">
        <v>231.0</v>
      </c>
      <c r="B232" s="2" t="s">
        <v>666</v>
      </c>
      <c r="C232" s="2" t="s">
        <v>317</v>
      </c>
      <c r="D232" s="2">
        <v>1848.0</v>
      </c>
      <c r="E232" s="5">
        <v>46148.0</v>
      </c>
      <c r="F232" s="5">
        <v>46027.0</v>
      </c>
      <c r="G232" s="2">
        <v>12012.0</v>
      </c>
      <c r="H232" s="8">
        <v>2748299.0</v>
      </c>
      <c r="I232" s="8">
        <v>250955.0</v>
      </c>
    </row>
    <row r="233" ht="22.5" customHeight="1">
      <c r="A233" s="2">
        <v>232.0</v>
      </c>
      <c r="B233" s="2" t="s">
        <v>668</v>
      </c>
      <c r="C233" s="2" t="s">
        <v>276</v>
      </c>
      <c r="D233" s="2">
        <v>882.0</v>
      </c>
      <c r="E233" s="5">
        <v>46057.0</v>
      </c>
      <c r="F233" s="5">
        <v>46115.0</v>
      </c>
      <c r="G233" s="8">
        <v>658990.0</v>
      </c>
      <c r="H233" s="8">
        <v>401251.0</v>
      </c>
      <c r="I233" s="2" t="s">
        <v>669</v>
      </c>
    </row>
    <row r="234" ht="22.5" customHeight="1">
      <c r="A234" s="2">
        <v>233.0</v>
      </c>
      <c r="B234" s="2" t="s">
        <v>668</v>
      </c>
      <c r="C234" s="2" t="s">
        <v>272</v>
      </c>
      <c r="D234" s="2">
        <v>1323.0</v>
      </c>
      <c r="E234" s="5">
        <v>46236.0</v>
      </c>
      <c r="F234" s="5">
        <v>46144.0</v>
      </c>
      <c r="G234" s="8">
        <v>658990.0</v>
      </c>
      <c r="H234" s="8">
        <v>514018.0</v>
      </c>
      <c r="I234" s="2" t="s">
        <v>670</v>
      </c>
    </row>
    <row r="235" ht="22.5" customHeight="1">
      <c r="A235" s="2">
        <v>234.0</v>
      </c>
      <c r="B235" s="2" t="s">
        <v>671</v>
      </c>
      <c r="C235" s="2" t="s">
        <v>317</v>
      </c>
      <c r="D235" s="2">
        <v>619.0</v>
      </c>
      <c r="E235" s="5">
        <v>46148.0</v>
      </c>
      <c r="F235" s="5">
        <v>46027.0</v>
      </c>
      <c r="G235" s="8">
        <v>775532.0</v>
      </c>
      <c r="H235" s="8">
        <v>458990.0</v>
      </c>
      <c r="I235" s="2" t="s">
        <v>672</v>
      </c>
    </row>
    <row r="236" ht="22.5" customHeight="1">
      <c r="A236" s="2">
        <v>235.0</v>
      </c>
      <c r="B236" s="2" t="s">
        <v>671</v>
      </c>
      <c r="C236" s="2" t="s">
        <v>272</v>
      </c>
      <c r="D236" s="2">
        <v>1438.0</v>
      </c>
      <c r="E236" s="5">
        <v>46236.0</v>
      </c>
      <c r="F236" s="5">
        <v>46144.0</v>
      </c>
      <c r="G236" s="8">
        <v>776598.0</v>
      </c>
      <c r="H236" s="7">
        <v>3595.0</v>
      </c>
      <c r="I236" s="2" t="s">
        <v>673</v>
      </c>
    </row>
    <row r="237" ht="22.5" customHeight="1">
      <c r="A237" s="2">
        <v>236.0</v>
      </c>
      <c r="B237" s="2" t="s">
        <v>674</v>
      </c>
      <c r="C237" s="2" t="s">
        <v>272</v>
      </c>
      <c r="D237" s="2">
        <v>1872.0</v>
      </c>
      <c r="E237" s="5">
        <v>46236.0</v>
      </c>
      <c r="F237" s="5">
        <v>46144.0</v>
      </c>
      <c r="G237" s="8">
        <v>1220429.0</v>
      </c>
      <c r="H237" s="7">
        <v>4680.0</v>
      </c>
      <c r="I237" s="2" t="s">
        <v>675</v>
      </c>
    </row>
    <row r="238" ht="22.5" customHeight="1">
      <c r="A238" s="2">
        <v>237.0</v>
      </c>
      <c r="B238" s="2" t="s">
        <v>674</v>
      </c>
      <c r="C238" s="2" t="s">
        <v>276</v>
      </c>
      <c r="D238" s="2">
        <v>1248.0</v>
      </c>
      <c r="E238" s="5">
        <v>46057.0</v>
      </c>
      <c r="F238" s="5">
        <v>46115.0</v>
      </c>
      <c r="G238" s="8">
        <v>1220429.0</v>
      </c>
      <c r="H238" s="8">
        <v>855796.0</v>
      </c>
      <c r="I238" s="2" t="s">
        <v>676</v>
      </c>
    </row>
    <row r="239" ht="22.5" customHeight="1">
      <c r="A239" s="2">
        <v>238.0</v>
      </c>
      <c r="B239" s="2" t="s">
        <v>677</v>
      </c>
      <c r="C239" s="2" t="s">
        <v>276</v>
      </c>
      <c r="D239" s="2">
        <v>5204.0</v>
      </c>
      <c r="E239" s="5">
        <v>46057.0</v>
      </c>
      <c r="F239" s="5">
        <v>46115.0</v>
      </c>
      <c r="G239" s="2" t="s">
        <v>678</v>
      </c>
      <c r="H239" s="2" t="s">
        <v>679</v>
      </c>
      <c r="I239" s="8">
        <v>826577.0</v>
      </c>
    </row>
    <row r="240" ht="22.5" customHeight="1">
      <c r="A240" s="2">
        <v>239.0</v>
      </c>
      <c r="B240" s="2" t="s">
        <v>677</v>
      </c>
      <c r="C240" s="2" t="s">
        <v>276</v>
      </c>
      <c r="D240" s="2">
        <v>5203.0</v>
      </c>
      <c r="E240" s="5">
        <v>46057.0</v>
      </c>
      <c r="F240" s="5">
        <v>46115.0</v>
      </c>
      <c r="G240" s="2" t="s">
        <v>680</v>
      </c>
      <c r="H240" s="2" t="s">
        <v>681</v>
      </c>
      <c r="I240" s="8">
        <v>826271.0</v>
      </c>
    </row>
    <row r="241" ht="22.5" customHeight="1">
      <c r="A241" s="2">
        <v>240.0</v>
      </c>
      <c r="B241" s="2" t="s">
        <v>677</v>
      </c>
      <c r="C241" s="2" t="s">
        <v>272</v>
      </c>
      <c r="D241" s="2">
        <v>7806.0</v>
      </c>
      <c r="E241" s="5">
        <v>46236.0</v>
      </c>
      <c r="F241" s="5">
        <v>46144.0</v>
      </c>
      <c r="G241" s="2" t="s">
        <v>678</v>
      </c>
      <c r="H241" s="7">
        <v>19515.0</v>
      </c>
      <c r="I241" s="8">
        <v>161286.0</v>
      </c>
    </row>
    <row r="242" ht="22.5" customHeight="1">
      <c r="A242" s="2">
        <v>241.0</v>
      </c>
      <c r="B242" s="2" t="s">
        <v>682</v>
      </c>
      <c r="C242" s="2" t="s">
        <v>278</v>
      </c>
      <c r="D242" s="2">
        <v>4140.0</v>
      </c>
      <c r="E242" s="5">
        <v>46115.0</v>
      </c>
      <c r="F242" s="2" t="s">
        <v>279</v>
      </c>
      <c r="G242" s="2">
        <v>14076.0</v>
      </c>
      <c r="H242" s="7">
        <v>11799.0</v>
      </c>
      <c r="I242" s="2">
        <v>2277.0</v>
      </c>
    </row>
    <row r="243" ht="22.5" customHeight="1">
      <c r="A243" s="2">
        <v>242.0</v>
      </c>
      <c r="B243" s="2" t="s">
        <v>683</v>
      </c>
      <c r="C243" s="2" t="s">
        <v>270</v>
      </c>
      <c r="D243" s="2">
        <v>14055.0</v>
      </c>
      <c r="E243" s="5">
        <v>46061.0</v>
      </c>
      <c r="F243" s="5">
        <v>46059.0</v>
      </c>
      <c r="G243" s="2">
        <v>115251.0</v>
      </c>
      <c r="H243" s="7">
        <v>87141.0</v>
      </c>
      <c r="I243" s="2">
        <v>28110.0</v>
      </c>
    </row>
    <row r="244" ht="22.5" customHeight="1">
      <c r="A244" s="2">
        <v>243.0</v>
      </c>
      <c r="B244" s="2" t="s">
        <v>683</v>
      </c>
      <c r="C244" s="2" t="s">
        <v>269</v>
      </c>
      <c r="D244" s="2">
        <v>22164.0</v>
      </c>
      <c r="E244" s="5">
        <v>46058.0</v>
      </c>
      <c r="F244" s="6">
        <v>46146.0</v>
      </c>
      <c r="G244" s="2" t="s">
        <v>684</v>
      </c>
      <c r="H244" s="2" t="s">
        <v>685</v>
      </c>
      <c r="I244" s="2" t="s">
        <v>686</v>
      </c>
    </row>
    <row r="245" ht="22.5" customHeight="1">
      <c r="A245" s="2">
        <v>244.0</v>
      </c>
      <c r="B245" s="2" t="s">
        <v>687</v>
      </c>
      <c r="C245" s="2" t="s">
        <v>272</v>
      </c>
      <c r="D245" s="2">
        <v>5282.0</v>
      </c>
      <c r="E245" s="5">
        <v>46236.0</v>
      </c>
      <c r="F245" s="5">
        <v>46144.0</v>
      </c>
      <c r="G245" s="2" t="s">
        <v>688</v>
      </c>
      <c r="H245" s="7">
        <v>13205.0</v>
      </c>
      <c r="I245" s="8" t="s">
        <v>689</v>
      </c>
    </row>
    <row r="246" ht="22.5" customHeight="1">
      <c r="A246" s="2">
        <v>245.0</v>
      </c>
      <c r="B246" s="2" t="s">
        <v>690</v>
      </c>
      <c r="C246" s="2" t="s">
        <v>311</v>
      </c>
      <c r="D246" s="2">
        <v>945.0</v>
      </c>
      <c r="E246" s="5">
        <v>46057.0</v>
      </c>
      <c r="F246" s="5">
        <v>46084.0</v>
      </c>
      <c r="G246" s="2">
        <v>3969.0</v>
      </c>
      <c r="H246" s="8">
        <v>444987.0</v>
      </c>
      <c r="I246" s="2" t="s">
        <v>691</v>
      </c>
    </row>
    <row r="247" ht="22.5" customHeight="1">
      <c r="A247" s="2">
        <v>246.0</v>
      </c>
      <c r="B247" s="2" t="s">
        <v>692</v>
      </c>
      <c r="C247" s="2" t="s">
        <v>276</v>
      </c>
      <c r="D247" s="2">
        <v>786.0</v>
      </c>
      <c r="E247" s="5">
        <v>46057.0</v>
      </c>
      <c r="F247" s="5">
        <v>46115.0</v>
      </c>
      <c r="G247" s="8">
        <v>511738.0</v>
      </c>
      <c r="H247" s="8">
        <v>282060.0</v>
      </c>
      <c r="I247" s="2" t="s">
        <v>693</v>
      </c>
    </row>
    <row r="248" ht="22.5" customHeight="1">
      <c r="A248" s="2">
        <v>247.0</v>
      </c>
      <c r="B248" s="2" t="s">
        <v>692</v>
      </c>
      <c r="C248" s="2" t="s">
        <v>317</v>
      </c>
      <c r="D248" s="2">
        <v>508.0</v>
      </c>
      <c r="E248" s="5">
        <v>46148.0</v>
      </c>
      <c r="F248" s="5">
        <v>46027.0</v>
      </c>
      <c r="G248" s="2">
        <v>3302.0</v>
      </c>
      <c r="H248" s="8">
        <v>252232.0</v>
      </c>
      <c r="I248" s="2" t="s">
        <v>694</v>
      </c>
    </row>
    <row r="249" ht="22.5" customHeight="1">
      <c r="A249" s="2">
        <v>248.0</v>
      </c>
      <c r="B249" s="2" t="s">
        <v>692</v>
      </c>
      <c r="C249" s="2" t="s">
        <v>276</v>
      </c>
      <c r="D249" s="2">
        <v>786.0</v>
      </c>
      <c r="E249" s="5">
        <v>46057.0</v>
      </c>
      <c r="F249" s="5">
        <v>46115.0</v>
      </c>
      <c r="G249" s="8">
        <v>511738.0</v>
      </c>
      <c r="H249" s="8">
        <v>282060.0</v>
      </c>
      <c r="I249" s="2" t="s">
        <v>693</v>
      </c>
    </row>
    <row r="250" ht="22.5" customHeight="1">
      <c r="A250" s="2">
        <v>249.0</v>
      </c>
      <c r="B250" s="2" t="s">
        <v>695</v>
      </c>
      <c r="C250" s="2" t="s">
        <v>317</v>
      </c>
      <c r="D250" s="2">
        <v>381.0</v>
      </c>
      <c r="E250" s="5">
        <v>46148.0</v>
      </c>
      <c r="F250" s="5">
        <v>46027.0</v>
      </c>
      <c r="G250" s="8">
        <v>210503.0</v>
      </c>
      <c r="H250" s="8">
        <v>15707.0</v>
      </c>
      <c r="I250" s="2" t="s">
        <v>696</v>
      </c>
    </row>
    <row r="251" ht="22.5" customHeight="1">
      <c r="A251" s="2">
        <v>250.0</v>
      </c>
      <c r="B251" s="2" t="s">
        <v>695</v>
      </c>
      <c r="C251" s="2" t="s">
        <v>272</v>
      </c>
      <c r="D251" s="2">
        <v>885.0</v>
      </c>
      <c r="E251" s="5">
        <v>46236.0</v>
      </c>
      <c r="F251" s="5">
        <v>46144.0</v>
      </c>
      <c r="G251" s="2">
        <v>2478.0</v>
      </c>
      <c r="H251" s="8">
        <v>114078.0</v>
      </c>
      <c r="I251" s="2" t="s">
        <v>697</v>
      </c>
    </row>
    <row r="252" ht="22.5" customHeight="1">
      <c r="A252" s="2">
        <v>251.0</v>
      </c>
      <c r="B252" s="2" t="s">
        <v>695</v>
      </c>
      <c r="C252" s="2" t="s">
        <v>276</v>
      </c>
      <c r="D252" s="2">
        <v>590.0</v>
      </c>
      <c r="E252" s="5">
        <v>46057.0</v>
      </c>
      <c r="F252" s="5">
        <v>46115.0</v>
      </c>
      <c r="G252" s="2">
        <v>2478.0</v>
      </c>
      <c r="H252" s="7">
        <v>2006.0</v>
      </c>
      <c r="I252" s="2">
        <v>472.0</v>
      </c>
    </row>
    <row r="253" ht="22.5" customHeight="1">
      <c r="A253" s="2">
        <v>252.0</v>
      </c>
      <c r="B253" s="2" t="s">
        <v>698</v>
      </c>
      <c r="C253" s="2" t="s">
        <v>276</v>
      </c>
      <c r="D253" s="2">
        <v>1126.0</v>
      </c>
      <c r="E253" s="5">
        <v>46057.0</v>
      </c>
      <c r="F253" s="5">
        <v>46115.0</v>
      </c>
      <c r="G253" s="8">
        <v>1033304.0</v>
      </c>
      <c r="H253" s="8">
        <v>704280.0</v>
      </c>
      <c r="I253" s="2" t="s">
        <v>699</v>
      </c>
    </row>
    <row r="254" ht="22.5" customHeight="1">
      <c r="A254" s="2">
        <v>253.0</v>
      </c>
      <c r="B254" s="2" t="s">
        <v>698</v>
      </c>
      <c r="C254" s="2" t="s">
        <v>317</v>
      </c>
      <c r="D254" s="2">
        <v>727.0</v>
      </c>
      <c r="E254" s="5">
        <v>46148.0</v>
      </c>
      <c r="F254" s="5">
        <v>46027.0</v>
      </c>
      <c r="G254" s="8">
        <v>1031932.0</v>
      </c>
      <c r="H254" s="8">
        <v>660176.0</v>
      </c>
      <c r="I254" s="8" t="s">
        <v>700</v>
      </c>
    </row>
    <row r="255" ht="22.5" customHeight="1">
      <c r="A255" s="2">
        <v>254.0</v>
      </c>
      <c r="B255" s="2" t="s">
        <v>698</v>
      </c>
      <c r="C255" s="2" t="s">
        <v>276</v>
      </c>
      <c r="D255" s="2">
        <v>1126.0</v>
      </c>
      <c r="E255" s="5">
        <v>46057.0</v>
      </c>
      <c r="F255" s="5">
        <v>46115.0</v>
      </c>
      <c r="G255" s="8">
        <v>1033304.0</v>
      </c>
      <c r="H255" s="8">
        <v>704280.0</v>
      </c>
      <c r="I255" s="2" t="s">
        <v>699</v>
      </c>
    </row>
    <row r="256" ht="22.5" customHeight="1">
      <c r="A256" s="2">
        <v>255.0</v>
      </c>
      <c r="B256" s="2" t="s">
        <v>701</v>
      </c>
      <c r="C256" s="2" t="s">
        <v>276</v>
      </c>
      <c r="D256" s="2">
        <v>2681.0</v>
      </c>
      <c r="E256" s="5">
        <v>46057.0</v>
      </c>
      <c r="F256" s="5">
        <v>46115.0</v>
      </c>
      <c r="G256" s="2" t="s">
        <v>702</v>
      </c>
      <c r="H256" s="8">
        <v>2635316.0</v>
      </c>
      <c r="I256" s="8">
        <v>89334.0</v>
      </c>
    </row>
    <row r="257" ht="22.5" customHeight="1">
      <c r="A257" s="2">
        <v>256.0</v>
      </c>
      <c r="B257" s="2" t="s">
        <v>701</v>
      </c>
      <c r="C257" s="2" t="s">
        <v>272</v>
      </c>
      <c r="D257" s="2">
        <v>4022.0</v>
      </c>
      <c r="E257" s="5">
        <v>46236.0</v>
      </c>
      <c r="F257" s="5">
        <v>46144.0</v>
      </c>
      <c r="G257" s="2" t="s">
        <v>703</v>
      </c>
      <c r="H257" s="7">
        <v>10055.0</v>
      </c>
      <c r="I257" s="8" t="s">
        <v>704</v>
      </c>
    </row>
    <row r="258" ht="22.5" customHeight="1">
      <c r="A258" s="2">
        <v>257.0</v>
      </c>
      <c r="B258" s="2" t="s">
        <v>705</v>
      </c>
      <c r="C258" s="2" t="s">
        <v>278</v>
      </c>
      <c r="D258" s="2">
        <v>1459.0</v>
      </c>
      <c r="E258" s="5">
        <v>46115.0</v>
      </c>
      <c r="F258" s="2" t="s">
        <v>279</v>
      </c>
      <c r="G258" s="8">
        <v>1117796.0</v>
      </c>
      <c r="H258" s="2" t="s">
        <v>706</v>
      </c>
      <c r="I258" s="2" t="s">
        <v>707</v>
      </c>
    </row>
    <row r="259" ht="22.5" customHeight="1">
      <c r="A259" s="2">
        <v>258.0</v>
      </c>
      <c r="B259" s="2" t="s">
        <v>708</v>
      </c>
      <c r="C259" s="2" t="s">
        <v>311</v>
      </c>
      <c r="D259" s="2">
        <v>2737.0</v>
      </c>
      <c r="E259" s="5">
        <v>46057.0</v>
      </c>
      <c r="F259" s="5">
        <v>46084.0</v>
      </c>
      <c r="G259" s="2" t="s">
        <v>709</v>
      </c>
      <c r="H259" s="8">
        <v>2604911.0</v>
      </c>
      <c r="I259" s="8">
        <v>205693.0</v>
      </c>
    </row>
    <row r="260" ht="22.5" customHeight="1">
      <c r="A260" s="2">
        <v>259.0</v>
      </c>
      <c r="B260" s="2" t="s">
        <v>710</v>
      </c>
      <c r="C260" s="2" t="s">
        <v>270</v>
      </c>
      <c r="D260" s="2">
        <v>38903.0</v>
      </c>
      <c r="E260" s="5">
        <v>46061.0</v>
      </c>
      <c r="F260" s="5">
        <v>46059.0</v>
      </c>
      <c r="G260" s="2" t="s">
        <v>711</v>
      </c>
      <c r="H260" s="2" t="s">
        <v>712</v>
      </c>
      <c r="I260" s="2">
        <v>77806.0</v>
      </c>
    </row>
    <row r="261" ht="22.5" customHeight="1">
      <c r="A261" s="2">
        <v>260.0</v>
      </c>
      <c r="B261" s="2" t="s">
        <v>713</v>
      </c>
      <c r="C261" s="2" t="s">
        <v>272</v>
      </c>
      <c r="D261" s="2">
        <v>2087.0</v>
      </c>
      <c r="E261" s="5">
        <v>46236.0</v>
      </c>
      <c r="F261" s="5">
        <v>46144.0</v>
      </c>
      <c r="G261" s="8">
        <v>1440304.0</v>
      </c>
      <c r="H261" s="8">
        <v>1211632.0</v>
      </c>
      <c r="I261" s="2" t="s">
        <v>714</v>
      </c>
    </row>
    <row r="262" ht="22.5" customHeight="1">
      <c r="A262" s="2">
        <v>261.0</v>
      </c>
      <c r="B262" s="2" t="s">
        <v>715</v>
      </c>
      <c r="C262" s="2" t="s">
        <v>317</v>
      </c>
      <c r="D262" s="2">
        <v>1052.0</v>
      </c>
      <c r="E262" s="5">
        <v>46148.0</v>
      </c>
      <c r="F262" s="5">
        <v>46027.0</v>
      </c>
      <c r="G262" s="2">
        <v>6838.0</v>
      </c>
      <c r="H262" s="8">
        <v>1265599.0</v>
      </c>
      <c r="I262" s="8" t="s">
        <v>716</v>
      </c>
    </row>
    <row r="263" ht="22.5" customHeight="1">
      <c r="A263" s="2">
        <v>262.0</v>
      </c>
      <c r="B263" s="2" t="s">
        <v>715</v>
      </c>
      <c r="C263" s="2" t="s">
        <v>276</v>
      </c>
      <c r="D263" s="2">
        <v>1627.0</v>
      </c>
      <c r="E263" s="5">
        <v>46057.0</v>
      </c>
      <c r="F263" s="5">
        <v>46115.0</v>
      </c>
      <c r="G263" s="8">
        <v>1801834.0</v>
      </c>
      <c r="H263" s="8">
        <v>1326409.0</v>
      </c>
      <c r="I263" s="8" t="s">
        <v>717</v>
      </c>
    </row>
    <row r="264" ht="22.5" customHeight="1">
      <c r="A264" s="2">
        <v>263.0</v>
      </c>
      <c r="B264" s="2" t="s">
        <v>718</v>
      </c>
      <c r="C264" s="2" t="s">
        <v>317</v>
      </c>
      <c r="D264" s="2">
        <v>19526.0</v>
      </c>
      <c r="E264" s="5">
        <v>46148.0</v>
      </c>
      <c r="F264" s="5">
        <v>46027.0</v>
      </c>
      <c r="G264" s="2">
        <v>126919.0</v>
      </c>
      <c r="H264" s="2" t="s">
        <v>719</v>
      </c>
      <c r="I264" s="2" t="s">
        <v>720</v>
      </c>
    </row>
    <row r="265" ht="22.5" customHeight="1">
      <c r="A265" s="2">
        <v>264.0</v>
      </c>
      <c r="B265" s="2" t="s">
        <v>721</v>
      </c>
      <c r="C265" s="2" t="s">
        <v>291</v>
      </c>
      <c r="D265" s="2">
        <v>792.0</v>
      </c>
      <c r="E265" s="5">
        <v>46240.0</v>
      </c>
      <c r="F265" s="5">
        <v>46027.0</v>
      </c>
      <c r="G265" s="8">
        <v>1273024.0</v>
      </c>
      <c r="H265" s="8">
        <v>781287.0</v>
      </c>
      <c r="I265" s="8" t="s">
        <v>722</v>
      </c>
    </row>
    <row r="266" ht="22.5" customHeight="1">
      <c r="A266" s="2">
        <v>265.0</v>
      </c>
      <c r="B266" s="2" t="s">
        <v>721</v>
      </c>
      <c r="C266" s="2" t="s">
        <v>311</v>
      </c>
      <c r="D266" s="2">
        <v>1281.0</v>
      </c>
      <c r="E266" s="5">
        <v>46057.0</v>
      </c>
      <c r="F266" s="5">
        <v>46084.0</v>
      </c>
      <c r="G266" s="8">
        <v>1271077.0</v>
      </c>
      <c r="H266" s="8">
        <v>849980.0</v>
      </c>
      <c r="I266" s="8" t="s">
        <v>723</v>
      </c>
    </row>
    <row r="267" ht="22.5" customHeight="1">
      <c r="A267" s="2">
        <v>266.0</v>
      </c>
      <c r="B267" s="2" t="s">
        <v>721</v>
      </c>
      <c r="C267" s="2" t="s">
        <v>311</v>
      </c>
      <c r="D267" s="2">
        <v>1282.0</v>
      </c>
      <c r="E267" s="5">
        <v>46057.0</v>
      </c>
      <c r="F267" s="5">
        <v>46084.0</v>
      </c>
      <c r="G267" s="8">
        <v>1272598.0</v>
      </c>
      <c r="H267" s="8">
        <v>851168.0</v>
      </c>
      <c r="I267" s="8" t="s">
        <v>724</v>
      </c>
    </row>
    <row r="268" ht="22.5" customHeight="1">
      <c r="A268" s="2">
        <v>267.0</v>
      </c>
      <c r="B268" s="2" t="s">
        <v>725</v>
      </c>
      <c r="C268" s="2" t="s">
        <v>311</v>
      </c>
      <c r="D268" s="2">
        <v>1958.0</v>
      </c>
      <c r="E268" s="5">
        <v>46057.0</v>
      </c>
      <c r="F268" s="5">
        <v>46084.0</v>
      </c>
      <c r="G268" s="8">
        <v>2309581.0</v>
      </c>
      <c r="H268" s="8">
        <v>1665964.0</v>
      </c>
      <c r="I268" s="8" t="s">
        <v>726</v>
      </c>
    </row>
    <row r="269" ht="22.5" customHeight="1">
      <c r="A269" s="2">
        <v>268.0</v>
      </c>
      <c r="B269" s="2" t="s">
        <v>727</v>
      </c>
      <c r="C269" s="2" t="s">
        <v>311</v>
      </c>
      <c r="D269" s="2">
        <v>6352.0</v>
      </c>
      <c r="E269" s="5">
        <v>46057.0</v>
      </c>
      <c r="F269" s="5">
        <v>46084.0</v>
      </c>
      <c r="G269" s="2" t="s">
        <v>728</v>
      </c>
      <c r="H269" s="2" t="s">
        <v>729</v>
      </c>
      <c r="I269" s="8">
        <v>1393980.0</v>
      </c>
    </row>
    <row r="270" ht="22.5" customHeight="1">
      <c r="A270" s="2">
        <v>269.0</v>
      </c>
      <c r="B270" s="2" t="s">
        <v>730</v>
      </c>
      <c r="C270" s="2" t="s">
        <v>276</v>
      </c>
      <c r="D270" s="2">
        <v>401.0</v>
      </c>
      <c r="E270" s="5">
        <v>46057.0</v>
      </c>
      <c r="F270" s="5">
        <v>46115.0</v>
      </c>
      <c r="G270" s="8" t="s">
        <v>731</v>
      </c>
      <c r="H270" s="8" t="s">
        <v>732</v>
      </c>
      <c r="I270" s="2" t="s">
        <v>733</v>
      </c>
    </row>
    <row r="271" ht="22.5" customHeight="1">
      <c r="A271" s="2">
        <v>270.0</v>
      </c>
      <c r="B271" s="2" t="s">
        <v>730</v>
      </c>
      <c r="C271" s="2" t="s">
        <v>276</v>
      </c>
      <c r="D271" s="2">
        <v>401.0</v>
      </c>
      <c r="E271" s="5">
        <v>46057.0</v>
      </c>
      <c r="F271" s="5">
        <v>46115.0</v>
      </c>
      <c r="G271" s="8" t="s">
        <v>731</v>
      </c>
      <c r="H271" s="8" t="s">
        <v>732</v>
      </c>
      <c r="I271" s="2" t="s">
        <v>733</v>
      </c>
    </row>
    <row r="272" ht="22.5" customHeight="1">
      <c r="A272" s="2">
        <v>271.0</v>
      </c>
      <c r="B272" s="2" t="s">
        <v>730</v>
      </c>
      <c r="C272" s="2" t="s">
        <v>317</v>
      </c>
      <c r="D272" s="2">
        <v>259.0</v>
      </c>
      <c r="E272" s="5">
        <v>46148.0</v>
      </c>
      <c r="F272" s="5">
        <v>46027.0</v>
      </c>
      <c r="G272" s="8" t="s">
        <v>734</v>
      </c>
      <c r="H272" s="8" t="s">
        <v>735</v>
      </c>
      <c r="I272" s="2" t="s">
        <v>736</v>
      </c>
    </row>
    <row r="273" ht="22.5" customHeight="1">
      <c r="A273" s="2">
        <v>272.0</v>
      </c>
      <c r="B273" s="2" t="s">
        <v>737</v>
      </c>
      <c r="C273" s="2" t="s">
        <v>272</v>
      </c>
      <c r="D273" s="2">
        <v>349.0</v>
      </c>
      <c r="E273" s="5">
        <v>46236.0</v>
      </c>
      <c r="F273" s="5">
        <v>46144.0</v>
      </c>
      <c r="G273" s="2" t="s">
        <v>738</v>
      </c>
      <c r="H273" s="2" t="s">
        <v>739</v>
      </c>
      <c r="I273" s="2" t="s">
        <v>740</v>
      </c>
    </row>
    <row r="274" ht="22.5" customHeight="1">
      <c r="A274" s="2">
        <v>273.0</v>
      </c>
      <c r="B274" s="2" t="s">
        <v>737</v>
      </c>
      <c r="C274" s="2" t="s">
        <v>276</v>
      </c>
      <c r="D274" s="2">
        <v>232.0</v>
      </c>
      <c r="E274" s="5">
        <v>46057.0</v>
      </c>
      <c r="F274" s="5">
        <v>46115.0</v>
      </c>
      <c r="G274" s="2" t="s">
        <v>741</v>
      </c>
      <c r="H274" s="2" t="s">
        <v>742</v>
      </c>
      <c r="I274" s="2" t="s">
        <v>743</v>
      </c>
    </row>
    <row r="275" ht="22.5" customHeight="1">
      <c r="A275" s="2">
        <v>274.0</v>
      </c>
      <c r="B275" s="2" t="s">
        <v>737</v>
      </c>
      <c r="C275" s="2" t="s">
        <v>317</v>
      </c>
      <c r="D275" s="2">
        <v>150.0</v>
      </c>
      <c r="E275" s="5">
        <v>46148.0</v>
      </c>
      <c r="F275" s="5">
        <v>46027.0</v>
      </c>
      <c r="G275" s="2">
        <v>975.0</v>
      </c>
      <c r="H275" s="7">
        <v>765.0</v>
      </c>
      <c r="I275" s="2">
        <v>210.0</v>
      </c>
    </row>
    <row r="276" ht="22.5" customHeight="1">
      <c r="A276" s="2">
        <v>275.0</v>
      </c>
      <c r="B276" s="2" t="s">
        <v>744</v>
      </c>
      <c r="C276" s="2" t="s">
        <v>317</v>
      </c>
      <c r="D276" s="2">
        <v>7499.0</v>
      </c>
      <c r="E276" s="5">
        <v>46148.0</v>
      </c>
      <c r="F276" s="5">
        <v>46027.0</v>
      </c>
      <c r="G276" s="2" t="s">
        <v>745</v>
      </c>
      <c r="H276" s="2" t="s">
        <v>746</v>
      </c>
      <c r="I276" s="2" t="s">
        <v>747</v>
      </c>
    </row>
    <row r="277" ht="22.5" customHeight="1">
      <c r="A277" s="2">
        <v>276.0</v>
      </c>
      <c r="B277" s="2" t="s">
        <v>744</v>
      </c>
      <c r="C277" s="2" t="s">
        <v>276</v>
      </c>
      <c r="D277" s="2">
        <v>11607.0</v>
      </c>
      <c r="E277" s="5">
        <v>46057.0</v>
      </c>
      <c r="F277" s="5">
        <v>46115.0</v>
      </c>
      <c r="G277" s="2" t="s">
        <v>748</v>
      </c>
      <c r="H277" s="2" t="s">
        <v>749</v>
      </c>
      <c r="I277" s="8">
        <v>2697470.0</v>
      </c>
    </row>
    <row r="278" ht="22.5" customHeight="1">
      <c r="A278" s="2">
        <v>277.0</v>
      </c>
      <c r="B278" s="2" t="s">
        <v>750</v>
      </c>
      <c r="C278" s="2" t="s">
        <v>278</v>
      </c>
      <c r="D278" s="2">
        <v>2072.0</v>
      </c>
      <c r="E278" s="5">
        <v>46115.0</v>
      </c>
      <c r="F278" s="2" t="s">
        <v>279</v>
      </c>
      <c r="G278" s="8">
        <v>1879022.0</v>
      </c>
      <c r="H278" s="8">
        <v>1462829.0</v>
      </c>
      <c r="I278" s="8" t="s">
        <v>751</v>
      </c>
    </row>
    <row r="279" ht="22.5" customHeight="1">
      <c r="A279" s="2">
        <v>278.0</v>
      </c>
      <c r="B279" s="2" t="s">
        <v>750</v>
      </c>
      <c r="C279" s="2" t="s">
        <v>278</v>
      </c>
      <c r="D279" s="2">
        <v>2072.0</v>
      </c>
      <c r="E279" s="5">
        <v>46115.0</v>
      </c>
      <c r="F279" s="2" t="s">
        <v>279</v>
      </c>
      <c r="G279" s="8">
        <v>1879022.0</v>
      </c>
      <c r="H279" s="8">
        <v>1462829.0</v>
      </c>
      <c r="I279" s="8" t="s">
        <v>751</v>
      </c>
    </row>
    <row r="280" ht="22.5" customHeight="1">
      <c r="A280" s="2">
        <v>279.0</v>
      </c>
      <c r="B280" s="2" t="s">
        <v>750</v>
      </c>
      <c r="C280" s="2" t="s">
        <v>269</v>
      </c>
      <c r="D280" s="2">
        <v>1354.0</v>
      </c>
      <c r="E280" s="5">
        <v>46058.0</v>
      </c>
      <c r="F280" s="6">
        <v>46146.0</v>
      </c>
      <c r="G280" s="8">
        <v>1877561.0</v>
      </c>
      <c r="H280" s="8">
        <v>1308847.0</v>
      </c>
      <c r="I280" s="8" t="s">
        <v>752</v>
      </c>
    </row>
    <row r="281" ht="22.5" customHeight="1">
      <c r="A281" s="2">
        <v>280.0</v>
      </c>
      <c r="B281" s="2" t="s">
        <v>753</v>
      </c>
      <c r="C281" s="2" t="s">
        <v>276</v>
      </c>
      <c r="D281" s="2">
        <v>352.0</v>
      </c>
      <c r="E281" s="5">
        <v>46057.0</v>
      </c>
      <c r="F281" s="5">
        <v>46115.0</v>
      </c>
      <c r="G281" s="8" t="s">
        <v>754</v>
      </c>
      <c r="H281" s="8" t="s">
        <v>755</v>
      </c>
      <c r="I281" s="2" t="s">
        <v>756</v>
      </c>
    </row>
    <row r="282" ht="22.5" customHeight="1">
      <c r="A282" s="2">
        <v>281.0</v>
      </c>
      <c r="B282" s="2" t="s">
        <v>753</v>
      </c>
      <c r="C282" s="2" t="s">
        <v>272</v>
      </c>
      <c r="D282" s="2">
        <v>527.0</v>
      </c>
      <c r="E282" s="5">
        <v>46236.0</v>
      </c>
      <c r="F282" s="5">
        <v>46144.0</v>
      </c>
      <c r="G282" s="8" t="s">
        <v>757</v>
      </c>
      <c r="H282" s="8" t="s">
        <v>758</v>
      </c>
      <c r="I282" s="2" t="s">
        <v>759</v>
      </c>
    </row>
    <row r="283" ht="22.5" customHeight="1">
      <c r="A283" s="2">
        <v>282.0</v>
      </c>
      <c r="B283" s="2" t="s">
        <v>753</v>
      </c>
      <c r="C283" s="2" t="s">
        <v>276</v>
      </c>
      <c r="D283" s="2">
        <v>351.0</v>
      </c>
      <c r="E283" s="5">
        <v>46057.0</v>
      </c>
      <c r="F283" s="5">
        <v>46115.0</v>
      </c>
      <c r="G283" s="8" t="s">
        <v>760</v>
      </c>
      <c r="H283" s="8" t="s">
        <v>761</v>
      </c>
      <c r="I283" s="2" t="s">
        <v>762</v>
      </c>
    </row>
    <row r="284" ht="22.5" customHeight="1">
      <c r="A284" s="2">
        <v>283.0</v>
      </c>
      <c r="B284" s="2" t="s">
        <v>763</v>
      </c>
      <c r="C284" s="2" t="s">
        <v>276</v>
      </c>
      <c r="D284" s="2">
        <v>2095.0</v>
      </c>
      <c r="E284" s="5">
        <v>46057.0</v>
      </c>
      <c r="F284" s="5">
        <v>46115.0</v>
      </c>
      <c r="G284" s="2">
        <v>8799.0</v>
      </c>
      <c r="H284" s="7">
        <v>7123.0</v>
      </c>
      <c r="I284" s="2">
        <v>1676.0</v>
      </c>
    </row>
    <row r="285" ht="22.5" customHeight="1">
      <c r="A285" s="2">
        <v>284.0</v>
      </c>
      <c r="B285" s="2" t="s">
        <v>763</v>
      </c>
      <c r="C285" s="2" t="s">
        <v>272</v>
      </c>
      <c r="D285" s="2">
        <v>3142.0</v>
      </c>
      <c r="E285" s="5">
        <v>46236.0</v>
      </c>
      <c r="F285" s="5">
        <v>46144.0</v>
      </c>
      <c r="G285" s="8">
        <v>2519231.0</v>
      </c>
      <c r="H285" s="7">
        <v>7855.0</v>
      </c>
      <c r="I285" s="2" t="s">
        <v>764</v>
      </c>
    </row>
    <row r="286" ht="22.5" customHeight="1">
      <c r="A286" s="2">
        <v>285.0</v>
      </c>
      <c r="B286" s="2" t="s">
        <v>763</v>
      </c>
      <c r="C286" s="2" t="s">
        <v>317</v>
      </c>
      <c r="D286" s="2">
        <v>1354.0</v>
      </c>
      <c r="E286" s="5">
        <v>46148.0</v>
      </c>
      <c r="F286" s="5">
        <v>46027.0</v>
      </c>
      <c r="G286" s="2">
        <v>8801.0</v>
      </c>
      <c r="H286" s="8">
        <v>1828131.0</v>
      </c>
      <c r="I286" s="8" t="s">
        <v>765</v>
      </c>
    </row>
    <row r="287" ht="22.5" customHeight="1">
      <c r="A287" s="2">
        <v>286.0</v>
      </c>
      <c r="B287" s="2" t="s">
        <v>766</v>
      </c>
      <c r="C287" s="2" t="s">
        <v>276</v>
      </c>
      <c r="D287" s="2">
        <v>6786.0</v>
      </c>
      <c r="E287" s="5">
        <v>46057.0</v>
      </c>
      <c r="F287" s="5">
        <v>46115.0</v>
      </c>
      <c r="G287" s="2" t="s">
        <v>767</v>
      </c>
      <c r="H287" s="2" t="s">
        <v>768</v>
      </c>
      <c r="I287" s="8">
        <v>1288790.0</v>
      </c>
    </row>
    <row r="288" ht="22.5" customHeight="1">
      <c r="A288" s="2">
        <v>287.0</v>
      </c>
      <c r="B288" s="2" t="s">
        <v>769</v>
      </c>
      <c r="C288" s="2" t="s">
        <v>272</v>
      </c>
      <c r="D288" s="2">
        <v>510.0</v>
      </c>
      <c r="E288" s="5">
        <v>46236.0</v>
      </c>
      <c r="F288" s="5">
        <v>46144.0</v>
      </c>
      <c r="G288" s="2">
        <v>1428.0</v>
      </c>
      <c r="H288" s="7">
        <v>1275.0</v>
      </c>
      <c r="I288" s="2">
        <v>153.0</v>
      </c>
    </row>
    <row r="289" ht="22.5" customHeight="1">
      <c r="A289" s="2">
        <v>288.0</v>
      </c>
      <c r="B289" s="2" t="s">
        <v>769</v>
      </c>
      <c r="C289" s="2" t="s">
        <v>272</v>
      </c>
      <c r="D289" s="2">
        <v>509.0</v>
      </c>
      <c r="E289" s="5">
        <v>46236.0</v>
      </c>
      <c r="F289" s="5">
        <v>46144.0</v>
      </c>
      <c r="G289" s="8" t="s">
        <v>770</v>
      </c>
      <c r="H289" s="8" t="s">
        <v>771</v>
      </c>
      <c r="I289" s="2" t="s">
        <v>772</v>
      </c>
    </row>
    <row r="290" ht="22.5" customHeight="1">
      <c r="A290" s="2">
        <v>289.0</v>
      </c>
      <c r="B290" s="2" t="s">
        <v>773</v>
      </c>
      <c r="C290" s="2" t="s">
        <v>272</v>
      </c>
      <c r="D290" s="2">
        <v>2005.0</v>
      </c>
      <c r="E290" s="5">
        <v>46236.0</v>
      </c>
      <c r="F290" s="5">
        <v>46144.0</v>
      </c>
      <c r="G290" s="2">
        <v>5614.0</v>
      </c>
      <c r="H290" s="8">
        <v>1136757.0</v>
      </c>
      <c r="I290" s="2" t="s">
        <v>774</v>
      </c>
    </row>
    <row r="291" ht="22.5" customHeight="1">
      <c r="A291" s="2">
        <v>290.0</v>
      </c>
      <c r="B291" s="2" t="s">
        <v>773</v>
      </c>
      <c r="C291" s="2" t="s">
        <v>276</v>
      </c>
      <c r="D291" s="2">
        <v>1337.0</v>
      </c>
      <c r="E291" s="5">
        <v>46057.0</v>
      </c>
      <c r="F291" s="5">
        <v>46115.0</v>
      </c>
      <c r="G291" s="8">
        <v>1356968.0</v>
      </c>
      <c r="H291" s="8">
        <v>966281.0</v>
      </c>
      <c r="I291" s="8" t="s">
        <v>775</v>
      </c>
    </row>
    <row r="292" ht="22.5" customHeight="1">
      <c r="A292" s="2">
        <v>291.0</v>
      </c>
      <c r="B292" s="2" t="s">
        <v>773</v>
      </c>
      <c r="C292" s="2" t="s">
        <v>272</v>
      </c>
      <c r="D292" s="2">
        <v>2005.0</v>
      </c>
      <c r="E292" s="5">
        <v>46236.0</v>
      </c>
      <c r="F292" s="5">
        <v>46144.0</v>
      </c>
      <c r="G292" s="2">
        <v>5614.0</v>
      </c>
      <c r="H292" s="8">
        <v>1136757.0</v>
      </c>
      <c r="I292" s="2" t="s">
        <v>774</v>
      </c>
    </row>
    <row r="293" ht="22.5" customHeight="1">
      <c r="A293" s="2">
        <v>292.0</v>
      </c>
      <c r="B293" s="2" t="s">
        <v>776</v>
      </c>
      <c r="C293" s="2" t="s">
        <v>291</v>
      </c>
      <c r="D293" s="2">
        <v>1400.0</v>
      </c>
      <c r="E293" s="5">
        <v>46240.0</v>
      </c>
      <c r="F293" s="5">
        <v>46027.0</v>
      </c>
      <c r="G293" s="2">
        <v>9520.0</v>
      </c>
      <c r="H293" s="7">
        <v>7140.0</v>
      </c>
      <c r="I293" s="2">
        <v>2380.0</v>
      </c>
    </row>
    <row r="294" ht="22.5" customHeight="1">
      <c r="A294" s="2">
        <v>293.0</v>
      </c>
      <c r="B294" s="2" t="s">
        <v>777</v>
      </c>
      <c r="C294" s="2" t="s">
        <v>272</v>
      </c>
      <c r="D294" s="2">
        <v>328.0</v>
      </c>
      <c r="E294" s="5">
        <v>46236.0</v>
      </c>
      <c r="F294" s="5">
        <v>46144.0</v>
      </c>
      <c r="G294" s="2" t="s">
        <v>778</v>
      </c>
      <c r="H294" s="7">
        <v>820.0</v>
      </c>
      <c r="I294" s="2" t="s">
        <v>779</v>
      </c>
    </row>
    <row r="295" ht="22.5" customHeight="1">
      <c r="A295" s="2">
        <v>294.0</v>
      </c>
      <c r="B295" s="2" t="s">
        <v>777</v>
      </c>
      <c r="C295" s="2" t="s">
        <v>317</v>
      </c>
      <c r="D295" s="2">
        <v>142.0</v>
      </c>
      <c r="E295" s="5">
        <v>46148.0</v>
      </c>
      <c r="F295" s="5">
        <v>46027.0</v>
      </c>
      <c r="G295" s="2">
        <v>923.0</v>
      </c>
      <c r="H295" s="2" t="s">
        <v>780</v>
      </c>
      <c r="I295" s="2" t="s">
        <v>781</v>
      </c>
    </row>
    <row r="296" ht="22.5" customHeight="1">
      <c r="A296" s="2">
        <v>295.0</v>
      </c>
      <c r="B296" s="2" t="s">
        <v>782</v>
      </c>
      <c r="C296" s="2" t="s">
        <v>269</v>
      </c>
      <c r="D296" s="2">
        <v>3213.0</v>
      </c>
      <c r="E296" s="5">
        <v>46058.0</v>
      </c>
      <c r="F296" s="6">
        <v>46146.0</v>
      </c>
      <c r="G296" s="2" t="s">
        <v>783</v>
      </c>
      <c r="H296" s="2" t="s">
        <v>784</v>
      </c>
      <c r="I296" s="2" t="s">
        <v>785</v>
      </c>
    </row>
    <row r="297" ht="22.5" customHeight="1">
      <c r="A297" s="2">
        <v>296.0</v>
      </c>
      <c r="B297" s="2" t="s">
        <v>786</v>
      </c>
      <c r="C297" s="2" t="s">
        <v>276</v>
      </c>
      <c r="D297" s="2">
        <v>3733.0</v>
      </c>
      <c r="E297" s="5">
        <v>46057.0</v>
      </c>
      <c r="F297" s="5">
        <v>46115.0</v>
      </c>
      <c r="G297" s="2" t="s">
        <v>787</v>
      </c>
      <c r="H297" s="2" t="s">
        <v>788</v>
      </c>
      <c r="I297" s="8">
        <v>396746.0</v>
      </c>
    </row>
    <row r="298" ht="22.5" customHeight="1">
      <c r="A298" s="2">
        <v>297.0</v>
      </c>
      <c r="B298" s="2" t="s">
        <v>789</v>
      </c>
      <c r="C298" s="2" t="s">
        <v>276</v>
      </c>
      <c r="D298" s="2">
        <v>3841.0</v>
      </c>
      <c r="E298" s="5">
        <v>46057.0</v>
      </c>
      <c r="F298" s="5">
        <v>46115.0</v>
      </c>
      <c r="G298" s="2" t="s">
        <v>790</v>
      </c>
      <c r="H298" s="2" t="s">
        <v>791</v>
      </c>
      <c r="I298" s="8">
        <v>428279.0</v>
      </c>
    </row>
    <row r="299" ht="22.5" customHeight="1">
      <c r="A299" s="2">
        <v>298.0</v>
      </c>
      <c r="B299" s="2" t="s">
        <v>792</v>
      </c>
      <c r="C299" s="2" t="s">
        <v>278</v>
      </c>
      <c r="D299" s="2">
        <v>27324.0</v>
      </c>
      <c r="E299" s="5">
        <v>46115.0</v>
      </c>
      <c r="F299" s="2" t="s">
        <v>279</v>
      </c>
      <c r="G299" s="2" t="s">
        <v>793</v>
      </c>
      <c r="H299" s="2" t="s">
        <v>794</v>
      </c>
      <c r="I299" s="2" t="s">
        <v>795</v>
      </c>
    </row>
    <row r="300" ht="22.5" customHeight="1">
      <c r="A300" s="2">
        <v>299.0</v>
      </c>
      <c r="B300" s="2" t="s">
        <v>796</v>
      </c>
      <c r="C300" s="2" t="s">
        <v>311</v>
      </c>
      <c r="D300" s="2">
        <v>1643.0</v>
      </c>
      <c r="E300" s="5">
        <v>46057.0</v>
      </c>
      <c r="F300" s="5">
        <v>46084.0</v>
      </c>
      <c r="G300" s="8">
        <v>1826366.0</v>
      </c>
      <c r="H300" s="8">
        <v>1286264.0</v>
      </c>
      <c r="I300" s="8" t="s">
        <v>797</v>
      </c>
    </row>
    <row r="301" ht="22.5" customHeight="1">
      <c r="A301" s="2">
        <v>300.0</v>
      </c>
      <c r="B301" s="2" t="s">
        <v>798</v>
      </c>
      <c r="C301" s="2" t="s">
        <v>272</v>
      </c>
      <c r="D301" s="2">
        <v>2729.0</v>
      </c>
      <c r="E301" s="5">
        <v>46236.0</v>
      </c>
      <c r="F301" s="5">
        <v>46144.0</v>
      </c>
      <c r="G301" s="8">
        <v>2096891.0</v>
      </c>
      <c r="H301" s="8">
        <v>1797846.0</v>
      </c>
      <c r="I301" s="2" t="s">
        <v>799</v>
      </c>
    </row>
    <row r="302" ht="22.5" customHeight="1">
      <c r="A302" s="2">
        <v>301.0</v>
      </c>
      <c r="B302" s="2" t="s">
        <v>800</v>
      </c>
      <c r="C302" s="2" t="s">
        <v>278</v>
      </c>
      <c r="D302" s="2">
        <v>932.0</v>
      </c>
      <c r="E302" s="5">
        <v>46115.0</v>
      </c>
      <c r="F302" s="2" t="s">
        <v>279</v>
      </c>
      <c r="G302" s="8">
        <v>463342.0</v>
      </c>
      <c r="H302" s="8">
        <v>276156.0</v>
      </c>
      <c r="I302" s="2" t="s">
        <v>801</v>
      </c>
    </row>
    <row r="303" ht="22.5" customHeight="1">
      <c r="A303" s="2">
        <v>302.0</v>
      </c>
      <c r="B303" s="2" t="s">
        <v>800</v>
      </c>
      <c r="C303" s="2" t="s">
        <v>278</v>
      </c>
      <c r="D303" s="2">
        <v>933.0</v>
      </c>
      <c r="E303" s="5">
        <v>46115.0</v>
      </c>
      <c r="F303" s="2" t="s">
        <v>279</v>
      </c>
      <c r="G303" s="8">
        <v>464621.0</v>
      </c>
      <c r="H303" s="9">
        <v>277341.0</v>
      </c>
      <c r="I303" s="2" t="s">
        <v>802</v>
      </c>
    </row>
    <row r="304" ht="22.5" customHeight="1">
      <c r="A304" s="2">
        <v>303.0</v>
      </c>
      <c r="B304" s="2" t="s">
        <v>803</v>
      </c>
      <c r="C304" s="2" t="s">
        <v>317</v>
      </c>
      <c r="D304" s="2">
        <v>3325.0</v>
      </c>
      <c r="E304" s="5">
        <v>46148.0</v>
      </c>
      <c r="F304" s="5">
        <v>46027.0</v>
      </c>
      <c r="G304" s="2" t="s">
        <v>804</v>
      </c>
      <c r="H304" s="2" t="s">
        <v>805</v>
      </c>
      <c r="I304" s="2">
        <v>4655.0</v>
      </c>
    </row>
    <row r="305" ht="22.5" customHeight="1">
      <c r="A305" s="2">
        <v>304.0</v>
      </c>
      <c r="B305" s="2" t="s">
        <v>803</v>
      </c>
      <c r="C305" s="2" t="s">
        <v>272</v>
      </c>
      <c r="D305" s="2">
        <v>7719.0</v>
      </c>
      <c r="E305" s="5">
        <v>46236.0</v>
      </c>
      <c r="F305" s="5">
        <v>46144.0</v>
      </c>
      <c r="G305" s="2" t="s">
        <v>806</v>
      </c>
      <c r="H305" s="2" t="s">
        <v>807</v>
      </c>
      <c r="I305" s="8">
        <v>151758.0</v>
      </c>
    </row>
    <row r="306" ht="22.5" customHeight="1">
      <c r="A306" s="2">
        <v>305.0</v>
      </c>
      <c r="B306" s="2" t="s">
        <v>808</v>
      </c>
      <c r="C306" s="2" t="s">
        <v>311</v>
      </c>
      <c r="D306" s="2">
        <v>2362.0</v>
      </c>
      <c r="E306" s="5">
        <v>46057.0</v>
      </c>
      <c r="F306" s="5">
        <v>46084.0</v>
      </c>
      <c r="G306" s="8">
        <v>2929337.0</v>
      </c>
      <c r="H306" s="8">
        <v>2152893.0</v>
      </c>
      <c r="I306" s="8">
        <v>82394.0</v>
      </c>
    </row>
    <row r="307" ht="22.5" customHeight="1">
      <c r="A307" s="2">
        <v>306.0</v>
      </c>
      <c r="B307" s="2" t="s">
        <v>808</v>
      </c>
      <c r="C307" s="2" t="s">
        <v>311</v>
      </c>
      <c r="D307" s="2">
        <v>2362.0</v>
      </c>
      <c r="E307" s="5">
        <v>46057.0</v>
      </c>
      <c r="F307" s="5">
        <v>46084.0</v>
      </c>
      <c r="G307" s="8">
        <v>2929337.0</v>
      </c>
      <c r="H307" s="8">
        <v>2152893.0</v>
      </c>
      <c r="I307" s="8">
        <v>82394.0</v>
      </c>
    </row>
    <row r="308" ht="22.5" customHeight="1">
      <c r="A308" s="2">
        <v>307.0</v>
      </c>
      <c r="B308" s="2" t="s">
        <v>808</v>
      </c>
      <c r="C308" s="2" t="s">
        <v>291</v>
      </c>
      <c r="D308" s="2">
        <v>1458.0</v>
      </c>
      <c r="E308" s="5">
        <v>46240.0</v>
      </c>
      <c r="F308" s="5">
        <v>46027.0</v>
      </c>
      <c r="G308" s="8">
        <v>2927145.0</v>
      </c>
      <c r="H308" s="8">
        <v>2021831.0</v>
      </c>
      <c r="I308" s="8">
        <v>211264.0</v>
      </c>
    </row>
    <row r="309" ht="22.5" customHeight="1">
      <c r="A309" s="2">
        <v>308.0</v>
      </c>
      <c r="B309" s="2" t="s">
        <v>809</v>
      </c>
      <c r="C309" s="2" t="s">
        <v>276</v>
      </c>
      <c r="D309" s="2">
        <v>2467.0</v>
      </c>
      <c r="E309" s="5">
        <v>46057.0</v>
      </c>
      <c r="F309" s="5">
        <v>46115.0</v>
      </c>
      <c r="G309" s="2" t="s">
        <v>810</v>
      </c>
      <c r="H309" s="8">
        <v>2369542.0</v>
      </c>
      <c r="I309" s="8">
        <v>26816.0</v>
      </c>
    </row>
    <row r="310" ht="22.5" customHeight="1">
      <c r="A310" s="2">
        <v>309.0</v>
      </c>
      <c r="B310" s="2" t="s">
        <v>809</v>
      </c>
      <c r="C310" s="2" t="s">
        <v>272</v>
      </c>
      <c r="D310" s="2">
        <v>3702.0</v>
      </c>
      <c r="E310" s="5">
        <v>46236.0</v>
      </c>
      <c r="F310" s="5">
        <v>46144.0</v>
      </c>
      <c r="G310" s="2" t="s">
        <v>811</v>
      </c>
      <c r="H310" s="7">
        <v>9255.0</v>
      </c>
      <c r="I310" s="8" t="s">
        <v>812</v>
      </c>
    </row>
    <row r="311" ht="22.5" customHeight="1">
      <c r="A311" s="2">
        <v>310.0</v>
      </c>
      <c r="B311" s="2" t="s">
        <v>813</v>
      </c>
      <c r="C311" s="2" t="s">
        <v>287</v>
      </c>
      <c r="D311" s="2">
        <v>758.0</v>
      </c>
      <c r="E311" s="5">
        <v>46152.0</v>
      </c>
      <c r="F311" s="5">
        <v>46241.0</v>
      </c>
      <c r="G311" s="2">
        <v>7959.0</v>
      </c>
      <c r="H311" s="8">
        <v>1465445.0</v>
      </c>
      <c r="I311" s="8">
        <v>53479.0</v>
      </c>
    </row>
    <row r="312" ht="22.5" customHeight="1">
      <c r="A312" s="2">
        <v>311.0</v>
      </c>
      <c r="B312" s="2" t="s">
        <v>814</v>
      </c>
      <c r="C312" s="2" t="s">
        <v>276</v>
      </c>
      <c r="D312" s="2">
        <v>3202.0</v>
      </c>
      <c r="E312" s="5">
        <v>46057.0</v>
      </c>
      <c r="F312" s="5">
        <v>46115.0</v>
      </c>
      <c r="G312" s="2" t="s">
        <v>815</v>
      </c>
      <c r="H312" s="2" t="s">
        <v>816</v>
      </c>
      <c r="I312" s="8">
        <v>241579.0</v>
      </c>
    </row>
    <row r="313" ht="22.5" customHeight="1">
      <c r="A313" s="2">
        <v>312.0</v>
      </c>
      <c r="B313" s="2" t="s">
        <v>817</v>
      </c>
      <c r="C313" s="2" t="s">
        <v>311</v>
      </c>
      <c r="D313" s="2">
        <v>13874.0</v>
      </c>
      <c r="E313" s="5">
        <v>46057.0</v>
      </c>
      <c r="F313" s="5">
        <v>46084.0</v>
      </c>
      <c r="G313" s="2" t="s">
        <v>818</v>
      </c>
      <c r="H313" s="2" t="s">
        <v>819</v>
      </c>
      <c r="I313" s="2" t="s">
        <v>820</v>
      </c>
    </row>
    <row r="314" ht="22.5" customHeight="1">
      <c r="A314" s="2">
        <v>313.0</v>
      </c>
      <c r="B314" s="2" t="s">
        <v>817</v>
      </c>
      <c r="C314" s="2" t="s">
        <v>291</v>
      </c>
      <c r="D314" s="2">
        <v>8569.0</v>
      </c>
      <c r="E314" s="5">
        <v>46240.0</v>
      </c>
      <c r="F314" s="5">
        <v>46027.0</v>
      </c>
      <c r="G314" s="2" t="s">
        <v>821</v>
      </c>
      <c r="H314" s="2" t="s">
        <v>822</v>
      </c>
      <c r="I314" s="2" t="s">
        <v>823</v>
      </c>
    </row>
    <row r="315" ht="22.5" customHeight="1">
      <c r="A315" s="2">
        <v>314.0</v>
      </c>
      <c r="B315" s="2" t="s">
        <v>817</v>
      </c>
      <c r="C315" s="2" t="s">
        <v>291</v>
      </c>
      <c r="D315" s="2">
        <v>8570.0</v>
      </c>
      <c r="E315" s="5">
        <v>46240.0</v>
      </c>
      <c r="F315" s="5">
        <v>46027.0</v>
      </c>
      <c r="G315" s="2">
        <v>58276.0</v>
      </c>
      <c r="H315" s="7">
        <v>43707.0</v>
      </c>
      <c r="I315" s="2">
        <v>14569.0</v>
      </c>
    </row>
    <row r="316" ht="22.5" customHeight="1">
      <c r="A316" s="2">
        <v>315.0</v>
      </c>
      <c r="B316" s="2" t="s">
        <v>824</v>
      </c>
      <c r="C316" s="2" t="s">
        <v>317</v>
      </c>
      <c r="D316" s="2">
        <v>7549.0</v>
      </c>
      <c r="E316" s="5">
        <v>46148.0</v>
      </c>
      <c r="F316" s="5">
        <v>46027.0</v>
      </c>
      <c r="G316" s="2" t="s">
        <v>825</v>
      </c>
      <c r="H316" s="2" t="s">
        <v>826</v>
      </c>
      <c r="I316" s="2" t="s">
        <v>827</v>
      </c>
    </row>
    <row r="317" ht="22.5" customHeight="1">
      <c r="A317" s="2">
        <v>316.0</v>
      </c>
      <c r="B317" s="2" t="s">
        <v>828</v>
      </c>
      <c r="C317" s="2" t="s">
        <v>311</v>
      </c>
      <c r="D317" s="2">
        <v>1144.0</v>
      </c>
      <c r="E317" s="5">
        <v>46057.0</v>
      </c>
      <c r="F317" s="5">
        <v>46084.0</v>
      </c>
      <c r="G317" s="8">
        <v>1060879.0</v>
      </c>
      <c r="H317" s="8">
        <v>684863.0</v>
      </c>
      <c r="I317" s="8" t="s">
        <v>829</v>
      </c>
    </row>
    <row r="318" ht="22.5" customHeight="1">
      <c r="A318" s="2">
        <v>317.0</v>
      </c>
      <c r="B318" s="2" t="s">
        <v>830</v>
      </c>
      <c r="C318" s="2" t="s">
        <v>272</v>
      </c>
      <c r="D318" s="2">
        <v>1519.0</v>
      </c>
      <c r="E318" s="5">
        <v>46236.0</v>
      </c>
      <c r="F318" s="5">
        <v>46144.0</v>
      </c>
      <c r="G318" s="8">
        <v>859449.0</v>
      </c>
      <c r="H318" s="8">
        <v>692988.0</v>
      </c>
      <c r="I318" s="2" t="s">
        <v>831</v>
      </c>
    </row>
    <row r="319" ht="22.5" customHeight="1">
      <c r="A319" s="2">
        <v>318.0</v>
      </c>
      <c r="B319" s="2" t="s">
        <v>830</v>
      </c>
      <c r="C319" s="2" t="s">
        <v>272</v>
      </c>
      <c r="D319" s="2">
        <v>1519.0</v>
      </c>
      <c r="E319" s="5">
        <v>46236.0</v>
      </c>
      <c r="F319" s="5">
        <v>46144.0</v>
      </c>
      <c r="G319" s="8">
        <v>859449.0</v>
      </c>
      <c r="H319" s="8">
        <v>692988.0</v>
      </c>
      <c r="I319" s="2" t="s">
        <v>831</v>
      </c>
    </row>
    <row r="320" ht="22.5" customHeight="1">
      <c r="A320" s="2">
        <v>319.0</v>
      </c>
      <c r="B320" s="2" t="s">
        <v>832</v>
      </c>
      <c r="C320" s="2" t="s">
        <v>272</v>
      </c>
      <c r="D320" s="2">
        <v>1957.0</v>
      </c>
      <c r="E320" s="5">
        <v>46236.0</v>
      </c>
      <c r="F320" s="5">
        <v>46144.0</v>
      </c>
      <c r="G320" s="8">
        <v>1307356.0</v>
      </c>
      <c r="H320" s="8">
        <v>1092929.0</v>
      </c>
      <c r="I320" s="2" t="s">
        <v>833</v>
      </c>
    </row>
    <row r="321" ht="22.5" customHeight="1">
      <c r="A321" s="2">
        <v>320.0</v>
      </c>
      <c r="B321" s="2" t="s">
        <v>832</v>
      </c>
      <c r="C321" s="2" t="s">
        <v>272</v>
      </c>
      <c r="D321" s="2">
        <v>1956.0</v>
      </c>
      <c r="E321" s="5">
        <v>46236.0</v>
      </c>
      <c r="F321" s="5">
        <v>46144.0</v>
      </c>
      <c r="G321" s="8">
        <v>1306322.0</v>
      </c>
      <c r="H321" s="7">
        <v>4890.0</v>
      </c>
      <c r="I321" s="2" t="s">
        <v>834</v>
      </c>
    </row>
    <row r="322" ht="22.5" customHeight="1">
      <c r="A322" s="2">
        <v>321.0</v>
      </c>
      <c r="B322" s="2" t="s">
        <v>835</v>
      </c>
      <c r="C322" s="2" t="s">
        <v>269</v>
      </c>
      <c r="D322" s="2">
        <v>1538.0</v>
      </c>
      <c r="E322" s="5">
        <v>46058.0</v>
      </c>
      <c r="F322" s="6">
        <v>46146.0</v>
      </c>
      <c r="G322" s="8">
        <v>2227037.0</v>
      </c>
      <c r="H322" s="8">
        <v>1581015.0</v>
      </c>
      <c r="I322" s="8" t="s">
        <v>836</v>
      </c>
    </row>
    <row r="323" ht="22.5" customHeight="1">
      <c r="A323" s="2">
        <v>322.0</v>
      </c>
      <c r="B323" s="2" t="s">
        <v>835</v>
      </c>
      <c r="C323" s="2" t="s">
        <v>269</v>
      </c>
      <c r="D323" s="2">
        <v>1538.0</v>
      </c>
      <c r="E323" s="5">
        <v>46058.0</v>
      </c>
      <c r="F323" s="6">
        <v>46146.0</v>
      </c>
      <c r="G323" s="8">
        <v>2227037.0</v>
      </c>
      <c r="H323" s="8">
        <v>1581015.0</v>
      </c>
      <c r="I323" s="8" t="s">
        <v>836</v>
      </c>
    </row>
    <row r="324" ht="22.5" customHeight="1">
      <c r="A324" s="2">
        <v>323.0</v>
      </c>
      <c r="B324" s="2" t="s">
        <v>835</v>
      </c>
      <c r="C324" s="2" t="s">
        <v>278</v>
      </c>
      <c r="D324" s="2">
        <v>2352.0</v>
      </c>
      <c r="E324" s="5">
        <v>46115.0</v>
      </c>
      <c r="F324" s="2" t="s">
        <v>279</v>
      </c>
      <c r="G324" s="8">
        <v>2226733.0</v>
      </c>
      <c r="H324" s="8">
        <v>1754292.0</v>
      </c>
      <c r="I324" s="8" t="s">
        <v>837</v>
      </c>
    </row>
    <row r="325" ht="22.5" customHeight="1">
      <c r="A325" s="2">
        <v>324.0</v>
      </c>
      <c r="B325" s="2" t="s">
        <v>838</v>
      </c>
      <c r="C325" s="2" t="s">
        <v>278</v>
      </c>
      <c r="D325" s="2">
        <v>3816.0</v>
      </c>
      <c r="E325" s="5">
        <v>46115.0</v>
      </c>
      <c r="F325" s="2" t="s">
        <v>279</v>
      </c>
      <c r="G325" s="2" t="s">
        <v>839</v>
      </c>
      <c r="H325" s="2" t="s">
        <v>840</v>
      </c>
      <c r="I325" s="8">
        <v>72533.0</v>
      </c>
    </row>
    <row r="326" ht="22.5" customHeight="1">
      <c r="A326" s="2">
        <v>325.0</v>
      </c>
      <c r="B326" s="2" t="s">
        <v>838</v>
      </c>
      <c r="C326" s="2" t="s">
        <v>278</v>
      </c>
      <c r="D326" s="2">
        <v>3816.0</v>
      </c>
      <c r="E326" s="5">
        <v>46115.0</v>
      </c>
      <c r="F326" s="2" t="s">
        <v>279</v>
      </c>
      <c r="G326" s="2" t="s">
        <v>839</v>
      </c>
      <c r="H326" s="2" t="s">
        <v>840</v>
      </c>
      <c r="I326" s="8">
        <v>72533.0</v>
      </c>
    </row>
    <row r="327" ht="22.5" customHeight="1">
      <c r="A327" s="2">
        <v>326.0</v>
      </c>
      <c r="B327" s="2" t="s">
        <v>838</v>
      </c>
      <c r="C327" s="2" t="s">
        <v>278</v>
      </c>
      <c r="D327" s="2">
        <v>3815.0</v>
      </c>
      <c r="E327" s="5">
        <v>46115.0</v>
      </c>
      <c r="F327" s="2" t="s">
        <v>279</v>
      </c>
      <c r="G327" s="2">
        <v>12971.0</v>
      </c>
      <c r="H327" s="2" t="s">
        <v>841</v>
      </c>
      <c r="I327" s="2" t="s">
        <v>842</v>
      </c>
    </row>
    <row r="328" ht="22.5" customHeight="1">
      <c r="A328" s="2">
        <v>327.0</v>
      </c>
      <c r="B328" s="2" t="s">
        <v>843</v>
      </c>
      <c r="C328" s="2" t="s">
        <v>269</v>
      </c>
      <c r="D328" s="2">
        <v>815.0</v>
      </c>
      <c r="E328" s="5">
        <v>46058.0</v>
      </c>
      <c r="F328" s="6">
        <v>46146.0</v>
      </c>
      <c r="G328" s="2">
        <v>4238.0</v>
      </c>
      <c r="H328" s="2" t="s">
        <v>844</v>
      </c>
      <c r="I328" s="2" t="s">
        <v>845</v>
      </c>
    </row>
    <row r="329" ht="22.5" customHeight="1">
      <c r="A329" s="2">
        <v>328.0</v>
      </c>
      <c r="B329" s="2" t="s">
        <v>843</v>
      </c>
      <c r="C329" s="2" t="s">
        <v>278</v>
      </c>
      <c r="D329" s="2">
        <v>1248.0</v>
      </c>
      <c r="E329" s="5">
        <v>46115.0</v>
      </c>
      <c r="F329" s="2" t="s">
        <v>279</v>
      </c>
      <c r="G329" s="8">
        <v>855796.0</v>
      </c>
      <c r="H329" s="8">
        <v>605056.0</v>
      </c>
      <c r="I329" s="2" t="s">
        <v>846</v>
      </c>
    </row>
    <row r="330" ht="22.5" customHeight="1">
      <c r="A330" s="2">
        <v>329.0</v>
      </c>
      <c r="B330" s="2" t="s">
        <v>847</v>
      </c>
      <c r="C330" s="2" t="s">
        <v>317</v>
      </c>
      <c r="D330" s="2">
        <v>1386.0</v>
      </c>
      <c r="E330" s="5">
        <v>46148.0</v>
      </c>
      <c r="F330" s="5">
        <v>46027.0</v>
      </c>
      <c r="G330" s="2">
        <v>9009.0</v>
      </c>
      <c r="H330" s="8">
        <v>1887727.0</v>
      </c>
      <c r="I330" s="8">
        <v>14702.0</v>
      </c>
    </row>
    <row r="331" ht="22.5" customHeight="1">
      <c r="A331" s="2">
        <v>330.0</v>
      </c>
      <c r="B331" s="2" t="s">
        <v>847</v>
      </c>
      <c r="C331" s="2" t="s">
        <v>317</v>
      </c>
      <c r="D331" s="2">
        <v>1385.0</v>
      </c>
      <c r="E331" s="5">
        <v>46148.0</v>
      </c>
      <c r="F331" s="5">
        <v>46027.0</v>
      </c>
      <c r="G331" s="8">
        <v>2594074.0</v>
      </c>
      <c r="H331" s="8">
        <v>1885869.0</v>
      </c>
      <c r="I331" s="2">
        <v>1939.0</v>
      </c>
    </row>
    <row r="332" ht="22.5" customHeight="1">
      <c r="A332" s="2">
        <v>331.0</v>
      </c>
      <c r="B332" s="2" t="s">
        <v>848</v>
      </c>
      <c r="C332" s="2" t="s">
        <v>272</v>
      </c>
      <c r="D332" s="2">
        <v>1442.0</v>
      </c>
      <c r="E332" s="5">
        <v>46236.0</v>
      </c>
      <c r="F332" s="5">
        <v>46144.0</v>
      </c>
      <c r="G332" s="8">
        <v>780677.0</v>
      </c>
      <c r="H332" s="7">
        <v>3605.0</v>
      </c>
      <c r="I332" s="2" t="s">
        <v>849</v>
      </c>
    </row>
    <row r="333" ht="22.5" customHeight="1">
      <c r="A333" s="2">
        <v>332.0</v>
      </c>
      <c r="B333" s="2" t="s">
        <v>848</v>
      </c>
      <c r="C333" s="2" t="s">
        <v>317</v>
      </c>
      <c r="D333" s="2">
        <v>621.0</v>
      </c>
      <c r="E333" s="5">
        <v>46148.0</v>
      </c>
      <c r="F333" s="5">
        <v>46027.0</v>
      </c>
      <c r="G333" s="8">
        <v>780281.0</v>
      </c>
      <c r="H333" s="8">
        <v>462764.0</v>
      </c>
      <c r="I333" s="2" t="s">
        <v>850</v>
      </c>
    </row>
    <row r="334" ht="22.5" customHeight="1">
      <c r="A334" s="2">
        <v>333.0</v>
      </c>
      <c r="B334" s="2" t="s">
        <v>848</v>
      </c>
      <c r="C334" s="2" t="s">
        <v>272</v>
      </c>
      <c r="D334" s="2">
        <v>1441.0</v>
      </c>
      <c r="E334" s="5">
        <v>46236.0</v>
      </c>
      <c r="F334" s="5">
        <v>46144.0</v>
      </c>
      <c r="G334" s="8">
        <v>779642.0</v>
      </c>
      <c r="H334" s="8">
        <v>621765.0</v>
      </c>
      <c r="I334" s="2" t="s">
        <v>851</v>
      </c>
    </row>
    <row r="335" ht="22.5" customHeight="1">
      <c r="A335" s="2">
        <v>334.0</v>
      </c>
      <c r="B335" s="2" t="s">
        <v>852</v>
      </c>
      <c r="C335" s="2" t="s">
        <v>272</v>
      </c>
      <c r="D335" s="2">
        <v>2917.0</v>
      </c>
      <c r="E335" s="5">
        <v>46236.0</v>
      </c>
      <c r="F335" s="5">
        <v>46144.0</v>
      </c>
      <c r="G335" s="8">
        <v>2289128.0</v>
      </c>
      <c r="H335" s="8">
        <v>1969511.0</v>
      </c>
      <c r="I335" s="2" t="s">
        <v>853</v>
      </c>
    </row>
    <row r="336" ht="22.5" customHeight="1">
      <c r="A336" s="2">
        <v>335.0</v>
      </c>
      <c r="B336" s="2" t="s">
        <v>852</v>
      </c>
      <c r="C336" s="2" t="s">
        <v>276</v>
      </c>
      <c r="D336" s="2">
        <v>1945.0</v>
      </c>
      <c r="E336" s="5">
        <v>46057.0</v>
      </c>
      <c r="F336" s="5">
        <v>46115.0</v>
      </c>
      <c r="G336" s="2">
        <v>8169.0</v>
      </c>
      <c r="H336" s="7">
        <v>6613.0</v>
      </c>
      <c r="I336" s="2">
        <v>1556.0</v>
      </c>
    </row>
    <row r="337" ht="22.5" customHeight="1">
      <c r="A337" s="2">
        <v>336.0</v>
      </c>
      <c r="B337" s="2" t="s">
        <v>854</v>
      </c>
      <c r="C337" s="2" t="s">
        <v>278</v>
      </c>
      <c r="D337" s="2">
        <v>3356.0</v>
      </c>
      <c r="E337" s="5">
        <v>46115.0</v>
      </c>
      <c r="F337" s="2" t="s">
        <v>279</v>
      </c>
      <c r="G337" s="2" t="s">
        <v>855</v>
      </c>
      <c r="H337" s="8">
        <v>2799372.0</v>
      </c>
      <c r="I337" s="8" t="s">
        <v>856</v>
      </c>
    </row>
    <row r="338" ht="22.5" customHeight="1">
      <c r="A338" s="2">
        <v>337.0</v>
      </c>
      <c r="B338" s="2" t="s">
        <v>854</v>
      </c>
      <c r="C338" s="2" t="s">
        <v>269</v>
      </c>
      <c r="D338" s="2">
        <v>2194.0</v>
      </c>
      <c r="E338" s="5">
        <v>46058.0</v>
      </c>
      <c r="F338" s="6">
        <v>46146.0</v>
      </c>
      <c r="G338" s="2" t="s">
        <v>857</v>
      </c>
      <c r="H338" s="8">
        <v>2551403.0</v>
      </c>
      <c r="I338" s="8">
        <v>227548.0</v>
      </c>
    </row>
    <row r="339" ht="22.5" customHeight="1">
      <c r="A339" s="2">
        <v>338.0</v>
      </c>
      <c r="B339" s="2" t="s">
        <v>858</v>
      </c>
      <c r="C339" s="2" t="s">
        <v>276</v>
      </c>
      <c r="D339" s="2">
        <v>5246.0</v>
      </c>
      <c r="E339" s="5">
        <v>46057.0</v>
      </c>
      <c r="F339" s="5">
        <v>46115.0</v>
      </c>
      <c r="G339" s="2" t="s">
        <v>859</v>
      </c>
      <c r="H339" s="2" t="s">
        <v>860</v>
      </c>
      <c r="I339" s="8">
        <v>838812.0</v>
      </c>
    </row>
    <row r="340" ht="22.5" customHeight="1">
      <c r="A340" s="2">
        <v>339.0</v>
      </c>
      <c r="B340" s="2" t="s">
        <v>861</v>
      </c>
      <c r="C340" s="2" t="s">
        <v>291</v>
      </c>
      <c r="D340" s="2">
        <v>989.0</v>
      </c>
      <c r="E340" s="5">
        <v>46240.0</v>
      </c>
      <c r="F340" s="5">
        <v>46027.0</v>
      </c>
      <c r="G340" s="8">
        <v>1762328.0</v>
      </c>
      <c r="H340" s="8">
        <v>1148202.0</v>
      </c>
      <c r="I340" s="8" t="s">
        <v>862</v>
      </c>
    </row>
    <row r="341" ht="22.5" customHeight="1">
      <c r="A341" s="2">
        <v>340.0</v>
      </c>
      <c r="B341" s="2" t="s">
        <v>861</v>
      </c>
      <c r="C341" s="2" t="s">
        <v>291</v>
      </c>
      <c r="D341" s="2">
        <v>989.0</v>
      </c>
      <c r="E341" s="5">
        <v>46240.0</v>
      </c>
      <c r="F341" s="5">
        <v>46027.0</v>
      </c>
      <c r="G341" s="8">
        <v>1762328.0</v>
      </c>
      <c r="H341" s="8">
        <v>1148202.0</v>
      </c>
      <c r="I341" s="8" t="s">
        <v>862</v>
      </c>
    </row>
    <row r="342" ht="22.5" customHeight="1">
      <c r="A342" s="2">
        <v>341.0</v>
      </c>
      <c r="B342" s="2" t="s">
        <v>861</v>
      </c>
      <c r="C342" s="2" t="s">
        <v>291</v>
      </c>
      <c r="D342" s="2">
        <v>990.0</v>
      </c>
      <c r="E342" s="5">
        <v>46240.0</v>
      </c>
      <c r="F342" s="5">
        <v>46027.0</v>
      </c>
      <c r="G342" s="2">
        <v>6732.0</v>
      </c>
      <c r="H342" s="7">
        <v>5049.0</v>
      </c>
      <c r="I342" s="2">
        <v>1683.0</v>
      </c>
    </row>
    <row r="343" ht="22.5" customHeight="1">
      <c r="A343" s="2">
        <v>342.0</v>
      </c>
      <c r="B343" s="2" t="s">
        <v>863</v>
      </c>
      <c r="C343" s="2" t="s">
        <v>270</v>
      </c>
      <c r="D343" s="2">
        <v>9006.0</v>
      </c>
      <c r="E343" s="5">
        <v>46061.0</v>
      </c>
      <c r="F343" s="5">
        <v>46059.0</v>
      </c>
      <c r="G343" s="2" t="s">
        <v>864</v>
      </c>
      <c r="H343" s="2" t="s">
        <v>865</v>
      </c>
      <c r="I343" s="2">
        <v>18012.0</v>
      </c>
    </row>
    <row r="344" ht="22.5" customHeight="1">
      <c r="A344" s="2">
        <v>343.0</v>
      </c>
      <c r="B344" s="2" t="s">
        <v>863</v>
      </c>
      <c r="C344" s="2" t="s">
        <v>270</v>
      </c>
      <c r="D344" s="2">
        <v>9007.0</v>
      </c>
      <c r="E344" s="5">
        <v>46061.0</v>
      </c>
      <c r="F344" s="5">
        <v>46059.0</v>
      </c>
      <c r="G344" s="2" t="s">
        <v>866</v>
      </c>
      <c r="H344" s="2" t="s">
        <v>867</v>
      </c>
      <c r="I344" s="2">
        <v>18014.0</v>
      </c>
    </row>
    <row r="345" ht="22.5" customHeight="1">
      <c r="A345" s="2">
        <v>344.0</v>
      </c>
      <c r="B345" s="2" t="s">
        <v>868</v>
      </c>
      <c r="C345" s="2" t="s">
        <v>291</v>
      </c>
      <c r="D345" s="2">
        <v>7183.0</v>
      </c>
      <c r="E345" s="5">
        <v>46240.0</v>
      </c>
      <c r="F345" s="5">
        <v>46027.0</v>
      </c>
      <c r="G345" s="2" t="s">
        <v>869</v>
      </c>
      <c r="H345" s="2" t="s">
        <v>870</v>
      </c>
      <c r="I345" s="2" t="s">
        <v>871</v>
      </c>
    </row>
    <row r="346" ht="22.5" customHeight="1">
      <c r="A346" s="2">
        <v>345.0</v>
      </c>
      <c r="B346" s="2" t="s">
        <v>868</v>
      </c>
      <c r="C346" s="2" t="s">
        <v>311</v>
      </c>
      <c r="D346" s="2">
        <v>11629.0</v>
      </c>
      <c r="E346" s="5">
        <v>46057.0</v>
      </c>
      <c r="F346" s="5">
        <v>46084.0</v>
      </c>
      <c r="G346" s="2" t="s">
        <v>872</v>
      </c>
      <c r="H346" s="2" t="s">
        <v>873</v>
      </c>
      <c r="I346" s="2" t="s">
        <v>874</v>
      </c>
    </row>
    <row r="347" ht="22.5" customHeight="1">
      <c r="A347" s="2">
        <v>346.0</v>
      </c>
      <c r="B347" s="2" t="s">
        <v>875</v>
      </c>
      <c r="C347" s="2" t="s">
        <v>272</v>
      </c>
      <c r="D347" s="2">
        <v>1470.0</v>
      </c>
      <c r="E347" s="5">
        <v>46236.0</v>
      </c>
      <c r="F347" s="5">
        <v>46144.0</v>
      </c>
      <c r="G347" s="2">
        <v>4116.0</v>
      </c>
      <c r="H347" s="7">
        <v>3675.0</v>
      </c>
      <c r="I347" s="2">
        <v>441.0</v>
      </c>
    </row>
    <row r="348" ht="22.5" customHeight="1">
      <c r="A348" s="2">
        <v>347.0</v>
      </c>
      <c r="B348" s="2" t="s">
        <v>876</v>
      </c>
      <c r="C348" s="2" t="s">
        <v>276</v>
      </c>
      <c r="D348" s="2">
        <v>1753.0</v>
      </c>
      <c r="E348" s="5">
        <v>46057.0</v>
      </c>
      <c r="F348" s="5">
        <v>46115.0</v>
      </c>
      <c r="G348" s="8">
        <v>1995108.0</v>
      </c>
      <c r="H348" s="8">
        <v>1482917.0</v>
      </c>
      <c r="I348" s="8" t="s">
        <v>877</v>
      </c>
    </row>
    <row r="349" ht="22.5" customHeight="1">
      <c r="A349" s="2">
        <v>348.0</v>
      </c>
      <c r="B349" s="2" t="s">
        <v>876</v>
      </c>
      <c r="C349" s="2" t="s">
        <v>276</v>
      </c>
      <c r="D349" s="2">
        <v>1753.0</v>
      </c>
      <c r="E349" s="5">
        <v>46057.0</v>
      </c>
      <c r="F349" s="5">
        <v>46115.0</v>
      </c>
      <c r="G349" s="8">
        <v>1995108.0</v>
      </c>
      <c r="H349" s="8">
        <v>1482917.0</v>
      </c>
      <c r="I349" s="8" t="s">
        <v>877</v>
      </c>
    </row>
    <row r="350" ht="22.5" customHeight="1">
      <c r="A350" s="2">
        <v>349.0</v>
      </c>
      <c r="B350" s="2" t="s">
        <v>876</v>
      </c>
      <c r="C350" s="2" t="s">
        <v>276</v>
      </c>
      <c r="D350" s="2">
        <v>1754.0</v>
      </c>
      <c r="E350" s="5">
        <v>46057.0</v>
      </c>
      <c r="F350" s="5">
        <v>46115.0</v>
      </c>
      <c r="G350" s="8">
        <v>1996630.0</v>
      </c>
      <c r="H350" s="8">
        <v>1484133.0</v>
      </c>
      <c r="I350" s="8" t="s">
        <v>878</v>
      </c>
    </row>
    <row r="351" ht="22.5" customHeight="1">
      <c r="A351" s="2">
        <v>350.0</v>
      </c>
      <c r="B351" s="2" t="s">
        <v>879</v>
      </c>
      <c r="C351" s="2" t="s">
        <v>317</v>
      </c>
      <c r="D351" s="2">
        <v>1706.0</v>
      </c>
      <c r="E351" s="5">
        <v>46148.0</v>
      </c>
      <c r="F351" s="5">
        <v>46027.0</v>
      </c>
      <c r="G351" s="2">
        <v>11089.0</v>
      </c>
      <c r="H351" s="8">
        <v>2483802.0</v>
      </c>
      <c r="I351" s="8">
        <v>178331.0</v>
      </c>
    </row>
    <row r="352" ht="22.5" customHeight="1">
      <c r="A352" s="2">
        <v>351.0</v>
      </c>
      <c r="B352" s="2" t="s">
        <v>880</v>
      </c>
      <c r="C352" s="2" t="s">
        <v>276</v>
      </c>
      <c r="D352" s="2">
        <v>823.0</v>
      </c>
      <c r="E352" s="5">
        <v>46057.0</v>
      </c>
      <c r="F352" s="5">
        <v>46115.0</v>
      </c>
      <c r="G352" s="8">
        <v>568471.0</v>
      </c>
      <c r="H352" s="8">
        <v>328021.0</v>
      </c>
      <c r="I352" s="2" t="s">
        <v>881</v>
      </c>
    </row>
    <row r="353" ht="22.5" customHeight="1">
      <c r="A353" s="2">
        <v>352.0</v>
      </c>
      <c r="B353" s="2" t="s">
        <v>880</v>
      </c>
      <c r="C353" s="2" t="s">
        <v>276</v>
      </c>
      <c r="D353" s="2">
        <v>822.0</v>
      </c>
      <c r="E353" s="5">
        <v>46057.0</v>
      </c>
      <c r="F353" s="5">
        <v>46115.0</v>
      </c>
      <c r="G353" s="8">
        <v>566949.0</v>
      </c>
      <c r="H353" s="8">
        <v>326741.0</v>
      </c>
      <c r="I353" s="2" t="s">
        <v>882</v>
      </c>
    </row>
    <row r="354" ht="22.5" customHeight="1">
      <c r="A354" s="2">
        <v>353.0</v>
      </c>
      <c r="B354" s="2" t="s">
        <v>880</v>
      </c>
      <c r="C354" s="2" t="s">
        <v>272</v>
      </c>
      <c r="D354" s="2">
        <v>1234.0</v>
      </c>
      <c r="E354" s="5">
        <v>46236.0</v>
      </c>
      <c r="F354" s="5">
        <v>46144.0</v>
      </c>
      <c r="G354" s="8">
        <v>567985.0</v>
      </c>
      <c r="H354" s="7">
        <v>3085.0</v>
      </c>
      <c r="I354" s="2" t="s">
        <v>883</v>
      </c>
    </row>
    <row r="355" ht="22.5" customHeight="1">
      <c r="A355" s="2">
        <v>354.0</v>
      </c>
      <c r="B355" s="2" t="s">
        <v>884</v>
      </c>
      <c r="C355" s="2" t="s">
        <v>276</v>
      </c>
      <c r="D355" s="2">
        <v>9879.0</v>
      </c>
      <c r="E355" s="5">
        <v>46057.0</v>
      </c>
      <c r="F355" s="5">
        <v>46115.0</v>
      </c>
      <c r="G355" s="2" t="s">
        <v>885</v>
      </c>
      <c r="H355" s="2" t="s">
        <v>886</v>
      </c>
      <c r="I355" s="8">
        <v>2192583.0</v>
      </c>
    </row>
    <row r="356" ht="22.5" customHeight="1">
      <c r="A356" s="2">
        <v>355.0</v>
      </c>
      <c r="B356" s="2" t="s">
        <v>884</v>
      </c>
      <c r="C356" s="2" t="s">
        <v>272</v>
      </c>
      <c r="D356" s="2">
        <v>14820.0</v>
      </c>
      <c r="E356" s="5">
        <v>46236.0</v>
      </c>
      <c r="F356" s="5">
        <v>46144.0</v>
      </c>
      <c r="G356" s="2">
        <v>41496.0</v>
      </c>
      <c r="H356" s="7">
        <v>37050.0</v>
      </c>
      <c r="I356" s="2">
        <v>4446.0</v>
      </c>
    </row>
    <row r="357" ht="22.5" customHeight="1">
      <c r="A357" s="2">
        <v>356.0</v>
      </c>
      <c r="B357" s="2" t="s">
        <v>887</v>
      </c>
      <c r="C357" s="2" t="s">
        <v>272</v>
      </c>
      <c r="D357" s="2">
        <v>1569.0</v>
      </c>
      <c r="E357" s="5">
        <v>46236.0</v>
      </c>
      <c r="F357" s="5">
        <v>46144.0</v>
      </c>
      <c r="G357" s="8">
        <v>910583.0</v>
      </c>
      <c r="H357" s="8">
        <v>738642.0</v>
      </c>
      <c r="I357" s="2" t="s">
        <v>888</v>
      </c>
    </row>
    <row r="358" ht="22.5" customHeight="1">
      <c r="A358" s="2">
        <v>357.0</v>
      </c>
      <c r="B358" s="2" t="s">
        <v>887</v>
      </c>
      <c r="C358" s="2" t="s">
        <v>272</v>
      </c>
      <c r="D358" s="2">
        <v>1570.0</v>
      </c>
      <c r="E358" s="5">
        <v>46236.0</v>
      </c>
      <c r="F358" s="5">
        <v>46144.0</v>
      </c>
      <c r="G358" s="2">
        <v>4396.0</v>
      </c>
      <c r="H358" s="7">
        <v>3925.0</v>
      </c>
      <c r="I358" s="2">
        <v>471.0</v>
      </c>
    </row>
    <row r="359" ht="22.5" customHeight="1">
      <c r="A359" s="2">
        <v>358.0</v>
      </c>
      <c r="B359" s="2" t="s">
        <v>889</v>
      </c>
      <c r="C359" s="2" t="s">
        <v>317</v>
      </c>
      <c r="D359" s="2">
        <v>985.0</v>
      </c>
      <c r="E359" s="5">
        <v>46148.0</v>
      </c>
      <c r="F359" s="5">
        <v>46027.0</v>
      </c>
      <c r="G359" s="8">
        <v>1644444.0</v>
      </c>
      <c r="H359" s="8">
        <v>1140774.0</v>
      </c>
      <c r="I359" s="2">
        <v>1379.0</v>
      </c>
    </row>
    <row r="360" ht="22.5" customHeight="1">
      <c r="A360" s="2">
        <v>359.0</v>
      </c>
      <c r="B360" s="2" t="s">
        <v>889</v>
      </c>
      <c r="C360" s="2" t="s">
        <v>317</v>
      </c>
      <c r="D360" s="2">
        <v>985.0</v>
      </c>
      <c r="E360" s="5">
        <v>46148.0</v>
      </c>
      <c r="F360" s="5">
        <v>46027.0</v>
      </c>
      <c r="G360" s="8">
        <v>1644444.0</v>
      </c>
      <c r="H360" s="8">
        <v>1140774.0</v>
      </c>
      <c r="I360" s="2">
        <v>1379.0</v>
      </c>
    </row>
    <row r="361" ht="22.5" customHeight="1">
      <c r="A361" s="2">
        <v>360.0</v>
      </c>
      <c r="B361" s="2" t="s">
        <v>890</v>
      </c>
      <c r="C361" s="2" t="s">
        <v>276</v>
      </c>
      <c r="D361" s="2">
        <v>2712.0</v>
      </c>
      <c r="E361" s="5">
        <v>46057.0</v>
      </c>
      <c r="F361" s="5">
        <v>46115.0</v>
      </c>
      <c r="G361" s="2" t="s">
        <v>891</v>
      </c>
      <c r="H361" s="8">
        <v>2673790.0</v>
      </c>
      <c r="I361" s="8">
        <v>98404.0</v>
      </c>
    </row>
    <row r="362" ht="22.5" customHeight="1">
      <c r="A362" s="2">
        <v>361.0</v>
      </c>
      <c r="B362" s="2" t="s">
        <v>890</v>
      </c>
      <c r="C362" s="2" t="s">
        <v>276</v>
      </c>
      <c r="D362" s="2">
        <v>2712.0</v>
      </c>
      <c r="E362" s="5">
        <v>46057.0</v>
      </c>
      <c r="F362" s="5">
        <v>46115.0</v>
      </c>
      <c r="G362" s="2" t="s">
        <v>891</v>
      </c>
      <c r="H362" s="8">
        <v>2673790.0</v>
      </c>
      <c r="I362" s="8">
        <v>98404.0</v>
      </c>
    </row>
    <row r="363" ht="22.5" customHeight="1">
      <c r="A363" s="2">
        <v>362.0</v>
      </c>
      <c r="B363" s="2" t="s">
        <v>890</v>
      </c>
      <c r="C363" s="2" t="s">
        <v>272</v>
      </c>
      <c r="D363" s="2">
        <v>4069.0</v>
      </c>
      <c r="E363" s="5">
        <v>46236.0</v>
      </c>
      <c r="F363" s="5">
        <v>46144.0</v>
      </c>
      <c r="G363" s="2" t="s">
        <v>640</v>
      </c>
      <c r="H363" s="2" t="s">
        <v>641</v>
      </c>
      <c r="I363" s="8" t="s">
        <v>642</v>
      </c>
    </row>
    <row r="364" ht="22.5" customHeight="1">
      <c r="A364" s="2">
        <v>363.0</v>
      </c>
      <c r="B364" s="2" t="s">
        <v>892</v>
      </c>
      <c r="C364" s="2" t="s">
        <v>272</v>
      </c>
      <c r="D364" s="2">
        <v>1451.0</v>
      </c>
      <c r="E364" s="5">
        <v>46236.0</v>
      </c>
      <c r="F364" s="5">
        <v>46144.0</v>
      </c>
      <c r="G364" s="8">
        <v>789869.0</v>
      </c>
      <c r="H364" s="8">
        <v>630896.0</v>
      </c>
      <c r="I364" s="2" t="s">
        <v>434</v>
      </c>
    </row>
    <row r="365" ht="22.5" customHeight="1">
      <c r="A365" s="2">
        <v>364.0</v>
      </c>
      <c r="B365" s="2" t="s">
        <v>893</v>
      </c>
      <c r="C365" s="2" t="s">
        <v>311</v>
      </c>
      <c r="D365" s="2">
        <v>3897.0</v>
      </c>
      <c r="E365" s="5">
        <v>46057.0</v>
      </c>
      <c r="F365" s="5">
        <v>46084.0</v>
      </c>
      <c r="G365" s="2" t="s">
        <v>894</v>
      </c>
      <c r="H365" s="2" t="s">
        <v>895</v>
      </c>
      <c r="I365" s="8">
        <v>587005.0</v>
      </c>
    </row>
    <row r="366" ht="22.5" customHeight="1">
      <c r="A366" s="2">
        <v>365.0</v>
      </c>
      <c r="B366" s="2" t="s">
        <v>896</v>
      </c>
      <c r="C366" s="2" t="s">
        <v>272</v>
      </c>
      <c r="D366" s="2">
        <v>574.0</v>
      </c>
      <c r="E366" s="5">
        <v>46236.0</v>
      </c>
      <c r="F366" s="5">
        <v>46144.0</v>
      </c>
      <c r="G366" s="8" t="s">
        <v>897</v>
      </c>
      <c r="H366" s="7">
        <v>1435.0</v>
      </c>
      <c r="I366" s="2" t="s">
        <v>898</v>
      </c>
    </row>
    <row r="367" ht="22.5" customHeight="1">
      <c r="A367" s="2">
        <v>366.0</v>
      </c>
      <c r="B367" s="2" t="s">
        <v>896</v>
      </c>
      <c r="C367" s="2" t="s">
        <v>272</v>
      </c>
      <c r="D367" s="2">
        <v>574.0</v>
      </c>
      <c r="E367" s="5">
        <v>46236.0</v>
      </c>
      <c r="F367" s="5">
        <v>46144.0</v>
      </c>
      <c r="G367" s="8" t="s">
        <v>897</v>
      </c>
      <c r="H367" s="7">
        <v>1435.0</v>
      </c>
      <c r="I367" s="2" t="s">
        <v>898</v>
      </c>
    </row>
    <row r="368" ht="22.5" customHeight="1">
      <c r="A368" s="2">
        <v>367.0</v>
      </c>
      <c r="B368" s="2" t="s">
        <v>896</v>
      </c>
      <c r="C368" s="2" t="s">
        <v>272</v>
      </c>
      <c r="D368" s="2">
        <v>573.0</v>
      </c>
      <c r="E368" s="5">
        <v>46236.0</v>
      </c>
      <c r="F368" s="5">
        <v>46144.0</v>
      </c>
      <c r="G368" s="8" t="s">
        <v>899</v>
      </c>
      <c r="H368" s="8" t="s">
        <v>900</v>
      </c>
      <c r="I368" s="2" t="s">
        <v>901</v>
      </c>
    </row>
    <row r="369" ht="22.5" customHeight="1">
      <c r="A369" s="2">
        <v>368.0</v>
      </c>
      <c r="B369" s="2" t="s">
        <v>902</v>
      </c>
      <c r="C369" s="2" t="s">
        <v>272</v>
      </c>
      <c r="D369" s="2">
        <v>8998.0</v>
      </c>
      <c r="E369" s="5">
        <v>46236.0</v>
      </c>
      <c r="F369" s="5">
        <v>46144.0</v>
      </c>
      <c r="G369" s="2" t="s">
        <v>903</v>
      </c>
      <c r="H369" s="7">
        <v>22495.0</v>
      </c>
      <c r="I369" s="8">
        <v>291921.0</v>
      </c>
    </row>
    <row r="370" ht="22.5" customHeight="1">
      <c r="A370" s="2">
        <v>369.0</v>
      </c>
      <c r="B370" s="2" t="s">
        <v>902</v>
      </c>
      <c r="C370" s="2" t="s">
        <v>276</v>
      </c>
      <c r="D370" s="2">
        <v>5998.0</v>
      </c>
      <c r="E370" s="5">
        <v>46057.0</v>
      </c>
      <c r="F370" s="5">
        <v>46115.0</v>
      </c>
      <c r="G370" s="2" t="s">
        <v>904</v>
      </c>
      <c r="H370" s="2" t="s">
        <v>905</v>
      </c>
      <c r="I370" s="8">
        <v>1058565.0</v>
      </c>
    </row>
    <row r="371" ht="22.5" customHeight="1">
      <c r="A371" s="2">
        <v>370.0</v>
      </c>
      <c r="B371" s="2" t="s">
        <v>906</v>
      </c>
      <c r="C371" s="2" t="s">
        <v>276</v>
      </c>
      <c r="D371" s="2">
        <v>940.0</v>
      </c>
      <c r="E371" s="5">
        <v>46057.0</v>
      </c>
      <c r="F371" s="5">
        <v>46115.0</v>
      </c>
      <c r="G371" s="2">
        <v>3948.0</v>
      </c>
      <c r="H371" s="7">
        <v>3196.0</v>
      </c>
      <c r="I371" s="2">
        <v>752.0</v>
      </c>
    </row>
    <row r="372" ht="22.5" customHeight="1">
      <c r="A372" s="2">
        <v>371.0</v>
      </c>
      <c r="B372" s="2" t="s">
        <v>907</v>
      </c>
      <c r="C372" s="2" t="s">
        <v>272</v>
      </c>
      <c r="D372" s="2">
        <v>4055.0</v>
      </c>
      <c r="E372" s="5">
        <v>46236.0</v>
      </c>
      <c r="F372" s="5">
        <v>46144.0</v>
      </c>
      <c r="G372" s="2">
        <v>11354.0</v>
      </c>
      <c r="H372" s="2" t="s">
        <v>908</v>
      </c>
      <c r="I372" s="8" t="s">
        <v>909</v>
      </c>
    </row>
    <row r="373" ht="22.5" customHeight="1">
      <c r="A373" s="2">
        <v>372.0</v>
      </c>
      <c r="B373" s="2" t="s">
        <v>910</v>
      </c>
      <c r="C373" s="2" t="s">
        <v>272</v>
      </c>
      <c r="D373" s="2">
        <v>2470.0</v>
      </c>
      <c r="E373" s="5">
        <v>46236.0</v>
      </c>
      <c r="F373" s="5">
        <v>46144.0</v>
      </c>
      <c r="G373" s="2">
        <v>6916.0</v>
      </c>
      <c r="H373" s="7">
        <v>6175.0</v>
      </c>
      <c r="I373" s="2">
        <v>741.0</v>
      </c>
    </row>
    <row r="374" ht="22.5" customHeight="1">
      <c r="A374" s="2">
        <v>373.0</v>
      </c>
      <c r="B374" s="2" t="s">
        <v>910</v>
      </c>
      <c r="C374" s="2" t="s">
        <v>272</v>
      </c>
      <c r="D374" s="2">
        <v>2469.0</v>
      </c>
      <c r="E374" s="5">
        <v>46236.0</v>
      </c>
      <c r="F374" s="5">
        <v>46144.0</v>
      </c>
      <c r="G374" s="8">
        <v>1830994.0</v>
      </c>
      <c r="H374" s="8">
        <v>1560439.0</v>
      </c>
      <c r="I374" s="2" t="s">
        <v>911</v>
      </c>
    </row>
    <row r="375" ht="22.5" customHeight="1">
      <c r="A375" s="2">
        <v>374.0</v>
      </c>
      <c r="B375" s="2" t="s">
        <v>910</v>
      </c>
      <c r="C375" s="2" t="s">
        <v>272</v>
      </c>
      <c r="D375" s="2">
        <v>2470.0</v>
      </c>
      <c r="E375" s="5">
        <v>46236.0</v>
      </c>
      <c r="F375" s="5">
        <v>46144.0</v>
      </c>
      <c r="G375" s="2">
        <v>6916.0</v>
      </c>
      <c r="H375" s="7">
        <v>6175.0</v>
      </c>
      <c r="I375" s="2">
        <v>741.0</v>
      </c>
    </row>
    <row r="376" ht="22.5" customHeight="1">
      <c r="A376" s="2">
        <v>375.0</v>
      </c>
      <c r="B376" s="2" t="s">
        <v>912</v>
      </c>
      <c r="C376" s="2" t="s">
        <v>278</v>
      </c>
      <c r="D376" s="2">
        <v>3969.0</v>
      </c>
      <c r="E376" s="5">
        <v>46115.0</v>
      </c>
      <c r="F376" s="2" t="s">
        <v>279</v>
      </c>
      <c r="G376" s="2" t="s">
        <v>913</v>
      </c>
      <c r="H376" s="2" t="s">
        <v>914</v>
      </c>
      <c r="I376" s="2" t="s">
        <v>915</v>
      </c>
    </row>
    <row r="377" ht="22.5" customHeight="1">
      <c r="A377" s="2">
        <v>376.0</v>
      </c>
      <c r="B377" s="2" t="s">
        <v>916</v>
      </c>
      <c r="C377" s="2" t="s">
        <v>272</v>
      </c>
      <c r="D377" s="2">
        <v>3662.0</v>
      </c>
      <c r="E377" s="5">
        <v>46236.0</v>
      </c>
      <c r="F377" s="5">
        <v>46144.0</v>
      </c>
      <c r="G377" s="2" t="s">
        <v>917</v>
      </c>
      <c r="H377" s="7">
        <v>9155.0</v>
      </c>
      <c r="I377" s="8" t="s">
        <v>918</v>
      </c>
    </row>
    <row r="378" ht="22.5" customHeight="1">
      <c r="A378" s="2">
        <v>377.0</v>
      </c>
      <c r="B378" s="2" t="s">
        <v>916</v>
      </c>
      <c r="C378" s="2" t="s">
        <v>276</v>
      </c>
      <c r="D378" s="2">
        <v>2442.0</v>
      </c>
      <c r="E378" s="5">
        <v>46057.0</v>
      </c>
      <c r="F378" s="5">
        <v>46115.0</v>
      </c>
      <c r="G378" s="2" t="s">
        <v>919</v>
      </c>
      <c r="H378" s="8">
        <v>2338496.0</v>
      </c>
      <c r="I378" s="8">
        <v>19511.0</v>
      </c>
    </row>
    <row r="379" ht="22.5" customHeight="1">
      <c r="A379" s="2">
        <v>378.0</v>
      </c>
      <c r="B379" s="2" t="s">
        <v>916</v>
      </c>
      <c r="C379" s="2" t="s">
        <v>317</v>
      </c>
      <c r="D379" s="2">
        <v>1577.0</v>
      </c>
      <c r="E379" s="5">
        <v>46148.0</v>
      </c>
      <c r="F379" s="5">
        <v>46027.0</v>
      </c>
      <c r="G379" s="2" t="s">
        <v>920</v>
      </c>
      <c r="H379" s="8">
        <v>2243503.0</v>
      </c>
      <c r="I379" s="8">
        <v>112343.0</v>
      </c>
    </row>
    <row r="380" ht="22.5" customHeight="1">
      <c r="A380" s="2">
        <v>379.0</v>
      </c>
      <c r="B380" s="2" t="s">
        <v>921</v>
      </c>
      <c r="C380" s="2" t="s">
        <v>269</v>
      </c>
      <c r="D380" s="2">
        <v>6052.0</v>
      </c>
      <c r="E380" s="5">
        <v>46058.0</v>
      </c>
      <c r="F380" s="6">
        <v>46146.0</v>
      </c>
      <c r="G380" s="2" t="s">
        <v>922</v>
      </c>
      <c r="H380" s="2" t="s">
        <v>923</v>
      </c>
      <c r="I380" s="8">
        <v>1847976.0</v>
      </c>
    </row>
    <row r="381" ht="22.5" customHeight="1">
      <c r="A381" s="2">
        <v>380.0</v>
      </c>
      <c r="B381" s="2" t="s">
        <v>924</v>
      </c>
      <c r="C381" s="2" t="s">
        <v>276</v>
      </c>
      <c r="D381" s="2">
        <v>807.0</v>
      </c>
      <c r="E381" s="5">
        <v>46057.0</v>
      </c>
      <c r="F381" s="5">
        <v>46115.0</v>
      </c>
      <c r="G381" s="8">
        <v>543939.0</v>
      </c>
      <c r="H381" s="8">
        <v>308113.0</v>
      </c>
      <c r="I381" s="2" t="s">
        <v>925</v>
      </c>
    </row>
    <row r="382" ht="22.5" customHeight="1">
      <c r="A382" s="2">
        <v>381.0</v>
      </c>
      <c r="B382" s="2" t="s">
        <v>924</v>
      </c>
      <c r="C382" s="2" t="s">
        <v>276</v>
      </c>
      <c r="D382" s="2">
        <v>806.0</v>
      </c>
      <c r="E382" s="5">
        <v>46057.0</v>
      </c>
      <c r="F382" s="5">
        <v>46115.0</v>
      </c>
      <c r="G382" s="8">
        <v>542419.0</v>
      </c>
      <c r="H382" s="8">
        <v>306896.0</v>
      </c>
      <c r="I382" s="2" t="s">
        <v>926</v>
      </c>
    </row>
    <row r="383" ht="22.5" customHeight="1">
      <c r="A383" s="2">
        <v>382.0</v>
      </c>
      <c r="B383" s="2" t="s">
        <v>927</v>
      </c>
      <c r="C383" s="2" t="s">
        <v>272</v>
      </c>
      <c r="D383" s="2">
        <v>1327.0</v>
      </c>
      <c r="E383" s="5">
        <v>46236.0</v>
      </c>
      <c r="F383" s="5">
        <v>46144.0</v>
      </c>
      <c r="G383" s="8">
        <v>663068.0</v>
      </c>
      <c r="H383" s="8">
        <v>517671.0</v>
      </c>
      <c r="I383" s="2" t="s">
        <v>928</v>
      </c>
    </row>
    <row r="384" ht="22.5" customHeight="1">
      <c r="A384" s="2">
        <v>383.0</v>
      </c>
      <c r="B384" s="2" t="s">
        <v>927</v>
      </c>
      <c r="C384" s="2" t="s">
        <v>317</v>
      </c>
      <c r="D384" s="2">
        <v>572.0</v>
      </c>
      <c r="E384" s="5">
        <v>46148.0</v>
      </c>
      <c r="F384" s="5">
        <v>46027.0</v>
      </c>
      <c r="G384" s="2">
        <v>3718.0</v>
      </c>
      <c r="H384" s="8">
        <v>371485.0</v>
      </c>
      <c r="I384" s="2" t="s">
        <v>929</v>
      </c>
    </row>
    <row r="385" ht="22.5" customHeight="1">
      <c r="A385" s="2">
        <v>384.0</v>
      </c>
      <c r="B385" s="2" t="s">
        <v>927</v>
      </c>
      <c r="C385" s="2" t="s">
        <v>272</v>
      </c>
      <c r="D385" s="2">
        <v>1327.0</v>
      </c>
      <c r="E385" s="5">
        <v>46236.0</v>
      </c>
      <c r="F385" s="5">
        <v>46144.0</v>
      </c>
      <c r="G385" s="8">
        <v>663068.0</v>
      </c>
      <c r="H385" s="8">
        <v>517671.0</v>
      </c>
      <c r="I385" s="2" t="s">
        <v>928</v>
      </c>
    </row>
    <row r="386" ht="22.5" customHeight="1">
      <c r="A386" s="2">
        <v>385.0</v>
      </c>
      <c r="B386" s="2" t="s">
        <v>930</v>
      </c>
      <c r="C386" s="2" t="s">
        <v>272</v>
      </c>
      <c r="D386" s="2">
        <v>18102.0</v>
      </c>
      <c r="E386" s="5">
        <v>46236.0</v>
      </c>
      <c r="F386" s="5">
        <v>46144.0</v>
      </c>
      <c r="G386" s="2" t="s">
        <v>610</v>
      </c>
      <c r="H386" s="7">
        <v>45255.0</v>
      </c>
      <c r="I386" s="8">
        <v>1289459.0</v>
      </c>
    </row>
    <row r="387" ht="22.5" customHeight="1">
      <c r="A387" s="2">
        <v>386.0</v>
      </c>
      <c r="B387" s="2" t="s">
        <v>931</v>
      </c>
      <c r="C387" s="2" t="s">
        <v>278</v>
      </c>
      <c r="D387" s="2">
        <v>16038.0</v>
      </c>
      <c r="E387" s="5">
        <v>46115.0</v>
      </c>
      <c r="F387" s="2" t="s">
        <v>279</v>
      </c>
      <c r="G387" s="2" t="s">
        <v>932</v>
      </c>
      <c r="H387" s="2" t="s">
        <v>933</v>
      </c>
      <c r="I387" s="8">
        <v>2527724.0</v>
      </c>
    </row>
    <row r="388" ht="22.5" customHeight="1">
      <c r="A388" s="2">
        <v>387.0</v>
      </c>
      <c r="B388" s="2" t="s">
        <v>934</v>
      </c>
      <c r="C388" s="2" t="s">
        <v>276</v>
      </c>
      <c r="D388" s="2">
        <v>1762.0</v>
      </c>
      <c r="E388" s="5">
        <v>46057.0</v>
      </c>
      <c r="F388" s="5">
        <v>46115.0</v>
      </c>
      <c r="G388" s="8">
        <v>2008926.0</v>
      </c>
      <c r="H388" s="8">
        <v>1494056.0</v>
      </c>
      <c r="I388" s="8" t="s">
        <v>935</v>
      </c>
    </row>
    <row r="389" ht="22.5" customHeight="1">
      <c r="A389" s="2">
        <v>388.0</v>
      </c>
      <c r="B389" s="2" t="s">
        <v>934</v>
      </c>
      <c r="C389" s="2" t="s">
        <v>276</v>
      </c>
      <c r="D389" s="2">
        <v>1763.0</v>
      </c>
      <c r="E389" s="5">
        <v>46057.0</v>
      </c>
      <c r="F389" s="5">
        <v>46115.0</v>
      </c>
      <c r="G389" s="8">
        <v>2010448.0</v>
      </c>
      <c r="H389" s="8">
        <v>1495336.0</v>
      </c>
      <c r="I389" s="8" t="s">
        <v>936</v>
      </c>
    </row>
    <row r="390" ht="22.5" customHeight="1">
      <c r="A390" s="2">
        <v>389.0</v>
      </c>
      <c r="B390" s="2" t="s">
        <v>937</v>
      </c>
      <c r="C390" s="2" t="s">
        <v>276</v>
      </c>
      <c r="D390" s="2">
        <v>1107.0</v>
      </c>
      <c r="E390" s="5">
        <v>46057.0</v>
      </c>
      <c r="F390" s="5">
        <v>46115.0</v>
      </c>
      <c r="G390" s="8">
        <v>1004144.0</v>
      </c>
      <c r="H390" s="8">
        <v>680661.0</v>
      </c>
      <c r="I390" s="2" t="s">
        <v>938</v>
      </c>
    </row>
    <row r="391" ht="22.5" customHeight="1">
      <c r="A391" s="2">
        <v>390.0</v>
      </c>
      <c r="B391" s="2" t="s">
        <v>939</v>
      </c>
      <c r="C391" s="2" t="s">
        <v>317</v>
      </c>
      <c r="D391" s="2">
        <v>156.0</v>
      </c>
      <c r="E391" s="5">
        <v>46148.0</v>
      </c>
      <c r="F391" s="5">
        <v>46027.0</v>
      </c>
      <c r="G391" s="2">
        <v>1014.0</v>
      </c>
      <c r="H391" s="2" t="s">
        <v>940</v>
      </c>
      <c r="I391" s="2" t="s">
        <v>941</v>
      </c>
    </row>
    <row r="392" ht="22.5" customHeight="1">
      <c r="A392" s="2">
        <v>391.0</v>
      </c>
      <c r="B392" s="2" t="s">
        <v>939</v>
      </c>
      <c r="C392" s="2" t="s">
        <v>276</v>
      </c>
      <c r="D392" s="2">
        <v>242.0</v>
      </c>
      <c r="E392" s="5">
        <v>46057.0</v>
      </c>
      <c r="F392" s="5">
        <v>46115.0</v>
      </c>
      <c r="G392" s="8" t="s">
        <v>942</v>
      </c>
      <c r="H392" s="2" t="s">
        <v>943</v>
      </c>
      <c r="I392" s="2" t="s">
        <v>944</v>
      </c>
    </row>
    <row r="393" ht="22.5" customHeight="1">
      <c r="A393" s="2">
        <v>392.0</v>
      </c>
      <c r="B393" s="2" t="s">
        <v>939</v>
      </c>
      <c r="C393" s="2" t="s">
        <v>276</v>
      </c>
      <c r="D393" s="2">
        <v>242.0</v>
      </c>
      <c r="E393" s="5">
        <v>46057.0</v>
      </c>
      <c r="F393" s="5">
        <v>46115.0</v>
      </c>
      <c r="G393" s="8" t="s">
        <v>942</v>
      </c>
      <c r="H393" s="2" t="s">
        <v>943</v>
      </c>
      <c r="I393" s="2" t="s">
        <v>944</v>
      </c>
    </row>
    <row r="394" ht="22.5" customHeight="1">
      <c r="A394" s="2">
        <v>393.0</v>
      </c>
      <c r="B394" s="2" t="s">
        <v>945</v>
      </c>
      <c r="C394" s="2" t="s">
        <v>272</v>
      </c>
      <c r="D394" s="2">
        <v>4433.0</v>
      </c>
      <c r="E394" s="5">
        <v>46236.0</v>
      </c>
      <c r="F394" s="5">
        <v>46144.0</v>
      </c>
      <c r="G394" s="2" t="s">
        <v>946</v>
      </c>
      <c r="H394" s="2" t="s">
        <v>947</v>
      </c>
      <c r="I394" s="8" t="s">
        <v>948</v>
      </c>
    </row>
    <row r="395" ht="22.5" customHeight="1">
      <c r="A395" s="2">
        <v>394.0</v>
      </c>
      <c r="B395" s="2" t="s">
        <v>949</v>
      </c>
      <c r="C395" s="2" t="s">
        <v>317</v>
      </c>
      <c r="D395" s="2">
        <v>2995.0</v>
      </c>
      <c r="E395" s="5">
        <v>46148.0</v>
      </c>
      <c r="F395" s="5">
        <v>46027.0</v>
      </c>
      <c r="G395" s="2" t="s">
        <v>950</v>
      </c>
      <c r="H395" s="2" t="s">
        <v>951</v>
      </c>
      <c r="I395" s="2">
        <v>4193.0</v>
      </c>
    </row>
    <row r="396" ht="22.5" customHeight="1">
      <c r="A396" s="2">
        <v>395.0</v>
      </c>
      <c r="B396" s="2" t="s">
        <v>952</v>
      </c>
      <c r="C396" s="2" t="s">
        <v>278</v>
      </c>
      <c r="D396" s="2">
        <v>1183.0</v>
      </c>
      <c r="E396" s="5">
        <v>46115.0</v>
      </c>
      <c r="F396" s="2" t="s">
        <v>279</v>
      </c>
      <c r="G396" s="8">
        <v>775078.0</v>
      </c>
      <c r="H396" s="2" t="s">
        <v>953</v>
      </c>
      <c r="I396" s="2" t="s">
        <v>954</v>
      </c>
    </row>
    <row r="397" ht="22.5" customHeight="1">
      <c r="A397" s="2">
        <v>396.0</v>
      </c>
      <c r="B397" s="2" t="s">
        <v>952</v>
      </c>
      <c r="C397" s="2" t="s">
        <v>278</v>
      </c>
      <c r="D397" s="2">
        <v>1183.0</v>
      </c>
      <c r="E397" s="5">
        <v>46115.0</v>
      </c>
      <c r="F397" s="2" t="s">
        <v>279</v>
      </c>
      <c r="G397" s="8">
        <v>775078.0</v>
      </c>
      <c r="H397" s="2" t="s">
        <v>953</v>
      </c>
      <c r="I397" s="2" t="s">
        <v>954</v>
      </c>
    </row>
    <row r="398" ht="22.5" customHeight="1">
      <c r="A398" s="2">
        <v>397.0</v>
      </c>
      <c r="B398" s="2" t="s">
        <v>952</v>
      </c>
      <c r="C398" s="2" t="s">
        <v>278</v>
      </c>
      <c r="D398" s="2">
        <v>1183.0</v>
      </c>
      <c r="E398" s="5">
        <v>46115.0</v>
      </c>
      <c r="F398" s="2" t="s">
        <v>279</v>
      </c>
      <c r="G398" s="8">
        <v>775078.0</v>
      </c>
      <c r="H398" s="2" t="s">
        <v>953</v>
      </c>
      <c r="I398" s="2" t="s">
        <v>954</v>
      </c>
    </row>
    <row r="399" ht="22.5" customHeight="1">
      <c r="A399" s="2">
        <v>398.0</v>
      </c>
      <c r="B399" s="2" t="s">
        <v>955</v>
      </c>
      <c r="C399" s="2" t="s">
        <v>272</v>
      </c>
      <c r="D399" s="2">
        <v>353.0</v>
      </c>
      <c r="E399" s="5">
        <v>46236.0</v>
      </c>
      <c r="F399" s="5">
        <v>46144.0</v>
      </c>
      <c r="G399" s="2" t="s">
        <v>956</v>
      </c>
      <c r="H399" s="2" t="s">
        <v>957</v>
      </c>
      <c r="I399" s="2" t="s">
        <v>958</v>
      </c>
    </row>
    <row r="400" ht="22.5" customHeight="1">
      <c r="A400" s="2">
        <v>399.0</v>
      </c>
      <c r="B400" s="2" t="s">
        <v>955</v>
      </c>
      <c r="C400" s="2" t="s">
        <v>317</v>
      </c>
      <c r="D400" s="2">
        <v>152.0</v>
      </c>
      <c r="E400" s="5">
        <v>46148.0</v>
      </c>
      <c r="F400" s="5">
        <v>46027.0</v>
      </c>
      <c r="G400" s="2">
        <v>988.0</v>
      </c>
      <c r="H400" s="2" t="s">
        <v>959</v>
      </c>
      <c r="I400" s="2" t="s">
        <v>960</v>
      </c>
    </row>
    <row r="401" ht="22.5" customHeight="1">
      <c r="A401" s="2">
        <v>400.0</v>
      </c>
      <c r="B401" s="2" t="s">
        <v>955</v>
      </c>
      <c r="C401" s="2" t="s">
        <v>272</v>
      </c>
      <c r="D401" s="2">
        <v>354.0</v>
      </c>
      <c r="E401" s="5">
        <v>46236.0</v>
      </c>
      <c r="F401" s="5">
        <v>46144.0</v>
      </c>
      <c r="G401" s="2" t="s">
        <v>961</v>
      </c>
      <c r="H401" s="7">
        <v>885.0</v>
      </c>
      <c r="I401" s="2" t="s">
        <v>962</v>
      </c>
    </row>
    <row r="402" ht="22.5" customHeight="1">
      <c r="A402" s="2">
        <v>401.0</v>
      </c>
      <c r="B402" s="2" t="s">
        <v>963</v>
      </c>
      <c r="C402" s="2" t="s">
        <v>291</v>
      </c>
      <c r="D402" s="2">
        <v>443.0</v>
      </c>
      <c r="E402" s="5">
        <v>46240.0</v>
      </c>
      <c r="F402" s="5">
        <v>46027.0</v>
      </c>
      <c r="G402" s="8">
        <v>406242.0</v>
      </c>
      <c r="H402" s="8">
        <v>131183.0</v>
      </c>
      <c r="I402" s="2" t="s">
        <v>964</v>
      </c>
    </row>
    <row r="403" ht="22.5" customHeight="1">
      <c r="A403" s="2">
        <v>402.0</v>
      </c>
      <c r="B403" s="2" t="s">
        <v>963</v>
      </c>
      <c r="C403" s="2" t="s">
        <v>291</v>
      </c>
      <c r="D403" s="2">
        <v>442.0</v>
      </c>
      <c r="E403" s="5">
        <v>46240.0</v>
      </c>
      <c r="F403" s="5">
        <v>46027.0</v>
      </c>
      <c r="G403" s="8">
        <v>403746.0</v>
      </c>
      <c r="H403" s="8">
        <v>129329.0</v>
      </c>
      <c r="I403" s="2" t="s">
        <v>965</v>
      </c>
    </row>
    <row r="404" ht="22.5" customHeight="1">
      <c r="A404" s="2">
        <v>403.0</v>
      </c>
      <c r="B404" s="2" t="s">
        <v>966</v>
      </c>
      <c r="C404" s="2" t="s">
        <v>276</v>
      </c>
      <c r="D404" s="2">
        <v>1230.0</v>
      </c>
      <c r="E404" s="5">
        <v>46057.0</v>
      </c>
      <c r="F404" s="5">
        <v>46115.0</v>
      </c>
      <c r="G404" s="2">
        <v>5166.0</v>
      </c>
      <c r="H404" s="7">
        <v>4182.0</v>
      </c>
      <c r="I404" s="2">
        <v>984.0</v>
      </c>
    </row>
    <row r="405" ht="22.5" customHeight="1">
      <c r="A405" s="2">
        <v>404.0</v>
      </c>
      <c r="B405" s="2" t="s">
        <v>966</v>
      </c>
      <c r="C405" s="2" t="s">
        <v>276</v>
      </c>
      <c r="D405" s="2">
        <v>1230.0</v>
      </c>
      <c r="E405" s="5">
        <v>46057.0</v>
      </c>
      <c r="F405" s="5">
        <v>46115.0</v>
      </c>
      <c r="G405" s="2">
        <v>5166.0</v>
      </c>
      <c r="H405" s="7">
        <v>4182.0</v>
      </c>
      <c r="I405" s="2">
        <v>984.0</v>
      </c>
    </row>
    <row r="406" ht="22.5" customHeight="1">
      <c r="A406" s="2">
        <v>405.0</v>
      </c>
      <c r="B406" s="2" t="s">
        <v>966</v>
      </c>
      <c r="C406" s="2" t="s">
        <v>317</v>
      </c>
      <c r="D406" s="2">
        <v>794.0</v>
      </c>
      <c r="E406" s="5">
        <v>46148.0</v>
      </c>
      <c r="F406" s="5">
        <v>46027.0</v>
      </c>
      <c r="G406" s="2">
        <v>5161.0</v>
      </c>
      <c r="H406" s="8">
        <v>784999.0</v>
      </c>
      <c r="I406" s="8" t="s">
        <v>967</v>
      </c>
    </row>
    <row r="407" ht="22.5" customHeight="1">
      <c r="A407" s="2">
        <v>406.0</v>
      </c>
      <c r="B407" s="2" t="s">
        <v>968</v>
      </c>
      <c r="C407" s="2" t="s">
        <v>269</v>
      </c>
      <c r="D407" s="2">
        <v>12710.0</v>
      </c>
      <c r="E407" s="5">
        <v>46058.0</v>
      </c>
      <c r="F407" s="6">
        <v>46146.0</v>
      </c>
      <c r="G407" s="2">
        <v>66092.0</v>
      </c>
      <c r="H407" s="2" t="s">
        <v>969</v>
      </c>
      <c r="I407" s="2" t="s">
        <v>970</v>
      </c>
    </row>
    <row r="408" ht="22.5" customHeight="1">
      <c r="A408" s="2">
        <v>407.0</v>
      </c>
      <c r="B408" s="2" t="s">
        <v>968</v>
      </c>
      <c r="C408" s="2" t="s">
        <v>278</v>
      </c>
      <c r="D408" s="2">
        <v>19440.0</v>
      </c>
      <c r="E408" s="5">
        <v>46115.0</v>
      </c>
      <c r="F408" s="2" t="s">
        <v>279</v>
      </c>
      <c r="G408" s="2">
        <v>66096.0</v>
      </c>
      <c r="H408" s="7">
        <v>55404.0</v>
      </c>
      <c r="I408" s="2">
        <v>10692.0</v>
      </c>
    </row>
    <row r="409" ht="22.5" customHeight="1">
      <c r="A409" s="2">
        <v>408.0</v>
      </c>
      <c r="B409" s="2" t="s">
        <v>971</v>
      </c>
      <c r="C409" s="2" t="s">
        <v>269</v>
      </c>
      <c r="D409" s="2">
        <v>3597.0</v>
      </c>
      <c r="E409" s="5">
        <v>46058.0</v>
      </c>
      <c r="F409" s="6">
        <v>46146.0</v>
      </c>
      <c r="G409" s="2" t="s">
        <v>972</v>
      </c>
      <c r="H409" s="2" t="s">
        <v>973</v>
      </c>
      <c r="I409" s="2" t="s">
        <v>974</v>
      </c>
    </row>
    <row r="410" ht="22.5" customHeight="1">
      <c r="A410" s="2">
        <v>409.0</v>
      </c>
      <c r="B410" s="2" t="s">
        <v>971</v>
      </c>
      <c r="C410" s="2" t="s">
        <v>269</v>
      </c>
      <c r="D410" s="2">
        <v>3597.0</v>
      </c>
      <c r="E410" s="5">
        <v>46058.0</v>
      </c>
      <c r="F410" s="6">
        <v>46146.0</v>
      </c>
      <c r="G410" s="2" t="s">
        <v>972</v>
      </c>
      <c r="H410" s="2" t="s">
        <v>973</v>
      </c>
      <c r="I410" s="2" t="s">
        <v>974</v>
      </c>
    </row>
    <row r="411" ht="22.5" customHeight="1">
      <c r="A411" s="2">
        <v>410.0</v>
      </c>
      <c r="B411" s="2" t="s">
        <v>975</v>
      </c>
      <c r="C411" s="2" t="s">
        <v>276</v>
      </c>
      <c r="D411" s="2">
        <v>7223.0</v>
      </c>
      <c r="E411" s="5">
        <v>46057.0</v>
      </c>
      <c r="F411" s="5">
        <v>46115.0</v>
      </c>
      <c r="G411" s="2" t="s">
        <v>976</v>
      </c>
      <c r="H411" s="2" t="s">
        <v>977</v>
      </c>
      <c r="I411" s="8">
        <v>1416503.0</v>
      </c>
    </row>
    <row r="412" ht="22.5" customHeight="1">
      <c r="A412" s="2">
        <v>411.0</v>
      </c>
      <c r="B412" s="2" t="s">
        <v>975</v>
      </c>
      <c r="C412" s="2" t="s">
        <v>276</v>
      </c>
      <c r="D412" s="2">
        <v>7223.0</v>
      </c>
      <c r="E412" s="5">
        <v>46057.0</v>
      </c>
      <c r="F412" s="5">
        <v>46115.0</v>
      </c>
      <c r="G412" s="2" t="s">
        <v>976</v>
      </c>
      <c r="H412" s="2" t="s">
        <v>977</v>
      </c>
      <c r="I412" s="8">
        <v>1416503.0</v>
      </c>
    </row>
    <row r="413" ht="22.5" customHeight="1">
      <c r="A413" s="2">
        <v>412.0</v>
      </c>
      <c r="B413" s="2" t="s">
        <v>978</v>
      </c>
      <c r="C413" s="2" t="s">
        <v>317</v>
      </c>
      <c r="D413" s="2">
        <v>9396.0</v>
      </c>
      <c r="E413" s="5">
        <v>46148.0</v>
      </c>
      <c r="F413" s="5">
        <v>46027.0</v>
      </c>
      <c r="G413" s="2">
        <v>61074.0</v>
      </c>
      <c r="H413" s="2" t="s">
        <v>979</v>
      </c>
      <c r="I413" s="2" t="s">
        <v>980</v>
      </c>
    </row>
    <row r="414" ht="22.5" customHeight="1">
      <c r="A414" s="2">
        <v>413.0</v>
      </c>
      <c r="B414" s="2" t="s">
        <v>978</v>
      </c>
      <c r="C414" s="2" t="s">
        <v>272</v>
      </c>
      <c r="D414" s="2">
        <v>21812.0</v>
      </c>
      <c r="E414" s="5">
        <v>46236.0</v>
      </c>
      <c r="F414" s="5">
        <v>46144.0</v>
      </c>
      <c r="G414" s="2" t="s">
        <v>981</v>
      </c>
      <c r="H414" s="7">
        <v>54530.0</v>
      </c>
      <c r="I414" s="8">
        <v>1695974.0</v>
      </c>
    </row>
    <row r="415" ht="22.5" customHeight="1">
      <c r="A415" s="2">
        <v>414.0</v>
      </c>
      <c r="B415" s="2" t="s">
        <v>982</v>
      </c>
      <c r="C415" s="2" t="s">
        <v>272</v>
      </c>
      <c r="D415" s="2">
        <v>3113.0</v>
      </c>
      <c r="E415" s="5">
        <v>46236.0</v>
      </c>
      <c r="F415" s="5">
        <v>46144.0</v>
      </c>
      <c r="G415" s="8">
        <v>2489585.0</v>
      </c>
      <c r="H415" s="8">
        <v>2148479.0</v>
      </c>
      <c r="I415" s="2" t="s">
        <v>983</v>
      </c>
    </row>
    <row r="416" ht="22.5" customHeight="1">
      <c r="A416" s="2">
        <v>415.0</v>
      </c>
      <c r="B416" s="2" t="s">
        <v>984</v>
      </c>
      <c r="C416" s="2" t="s">
        <v>278</v>
      </c>
      <c r="D416" s="2">
        <v>1519.0</v>
      </c>
      <c r="E416" s="5">
        <v>46115.0</v>
      </c>
      <c r="F416" s="2" t="s">
        <v>279</v>
      </c>
      <c r="G416" s="8">
        <v>1192305.0</v>
      </c>
      <c r="H416" s="2" t="s">
        <v>985</v>
      </c>
      <c r="I416" s="2" t="s">
        <v>986</v>
      </c>
    </row>
    <row r="417" ht="22.5" customHeight="1">
      <c r="A417" s="2">
        <v>416.0</v>
      </c>
      <c r="B417" s="2" t="s">
        <v>984</v>
      </c>
      <c r="C417" s="2" t="s">
        <v>278</v>
      </c>
      <c r="D417" s="2">
        <v>1518.0</v>
      </c>
      <c r="E417" s="5">
        <v>46115.0</v>
      </c>
      <c r="F417" s="2" t="s">
        <v>279</v>
      </c>
      <c r="G417" s="8">
        <v>1191089.0</v>
      </c>
      <c r="H417" s="8">
        <v>886139.0</v>
      </c>
      <c r="I417" s="2" t="s">
        <v>987</v>
      </c>
    </row>
    <row r="418" ht="22.5" customHeight="1">
      <c r="A418" s="2">
        <v>417.0</v>
      </c>
      <c r="B418" s="2" t="s">
        <v>988</v>
      </c>
      <c r="C418" s="2" t="s">
        <v>276</v>
      </c>
      <c r="D418" s="2">
        <v>829.0</v>
      </c>
      <c r="E418" s="5">
        <v>46057.0</v>
      </c>
      <c r="F418" s="5">
        <v>46115.0</v>
      </c>
      <c r="G418" s="8">
        <v>577663.0</v>
      </c>
      <c r="H418" s="8">
        <v>335446.0</v>
      </c>
      <c r="I418" s="2" t="s">
        <v>989</v>
      </c>
    </row>
    <row r="419" ht="22.5" customHeight="1">
      <c r="A419" s="2">
        <v>418.0</v>
      </c>
      <c r="B419" s="2" t="s">
        <v>990</v>
      </c>
      <c r="C419" s="2" t="s">
        <v>269</v>
      </c>
      <c r="D419" s="2">
        <v>49724.0</v>
      </c>
      <c r="E419" s="5">
        <v>46058.0</v>
      </c>
      <c r="F419" s="6">
        <v>46146.0</v>
      </c>
      <c r="G419" s="2" t="s">
        <v>991</v>
      </c>
      <c r="H419" s="2" t="s">
        <v>992</v>
      </c>
      <c r="I419" s="2" t="s">
        <v>993</v>
      </c>
    </row>
    <row r="420" ht="22.5" customHeight="1">
      <c r="A420" s="2">
        <v>419.0</v>
      </c>
      <c r="B420" s="2" t="s">
        <v>994</v>
      </c>
      <c r="C420" s="2" t="s">
        <v>291</v>
      </c>
      <c r="D420" s="2">
        <v>6772.0</v>
      </c>
      <c r="E420" s="5">
        <v>46240.0</v>
      </c>
      <c r="F420" s="5">
        <v>46027.0</v>
      </c>
      <c r="G420" s="2" t="s">
        <v>995</v>
      </c>
      <c r="H420" s="2" t="s">
        <v>996</v>
      </c>
      <c r="I420" s="2" t="s">
        <v>997</v>
      </c>
    </row>
    <row r="421" ht="22.5" customHeight="1">
      <c r="A421" s="2">
        <v>420.0</v>
      </c>
      <c r="B421" s="2" t="s">
        <v>994</v>
      </c>
      <c r="C421" s="2" t="s">
        <v>291</v>
      </c>
      <c r="D421" s="2">
        <v>6773.0</v>
      </c>
      <c r="E421" s="5">
        <v>46240.0</v>
      </c>
      <c r="F421" s="5">
        <v>46027.0</v>
      </c>
      <c r="G421" s="2" t="s">
        <v>998</v>
      </c>
      <c r="H421" s="2" t="s">
        <v>999</v>
      </c>
      <c r="I421" s="2" t="s">
        <v>1000</v>
      </c>
    </row>
    <row r="422" ht="22.5" customHeight="1">
      <c r="A422" s="2">
        <v>421.0</v>
      </c>
      <c r="B422" s="2" t="s">
        <v>1001</v>
      </c>
      <c r="C422" s="2" t="s">
        <v>317</v>
      </c>
      <c r="D422" s="2">
        <v>364.0</v>
      </c>
      <c r="E422" s="5">
        <v>46148.0</v>
      </c>
      <c r="F422" s="5">
        <v>46027.0</v>
      </c>
      <c r="G422" s="2">
        <v>2366.0</v>
      </c>
      <c r="H422" s="8" t="s">
        <v>1002</v>
      </c>
      <c r="I422" s="2" t="s">
        <v>1003</v>
      </c>
    </row>
    <row r="423" ht="22.5" customHeight="1">
      <c r="A423" s="2">
        <v>422.0</v>
      </c>
      <c r="B423" s="2" t="s">
        <v>1001</v>
      </c>
      <c r="C423" s="2" t="s">
        <v>272</v>
      </c>
      <c r="D423" s="2">
        <v>844.0</v>
      </c>
      <c r="E423" s="5">
        <v>46236.0</v>
      </c>
      <c r="F423" s="5">
        <v>46144.0</v>
      </c>
      <c r="G423" s="8">
        <v>169140.0</v>
      </c>
      <c r="H423" s="7">
        <v>2110.0</v>
      </c>
      <c r="I423" s="2" t="s">
        <v>1004</v>
      </c>
    </row>
    <row r="424" ht="22.5" customHeight="1">
      <c r="A424" s="2">
        <v>423.0</v>
      </c>
      <c r="B424" s="2" t="s">
        <v>1001</v>
      </c>
      <c r="C424" s="2" t="s">
        <v>317</v>
      </c>
      <c r="D424" s="2">
        <v>364.0</v>
      </c>
      <c r="E424" s="5">
        <v>46148.0</v>
      </c>
      <c r="F424" s="5">
        <v>46027.0</v>
      </c>
      <c r="G424" s="2">
        <v>2366.0</v>
      </c>
      <c r="H424" s="8" t="s">
        <v>1002</v>
      </c>
      <c r="I424" s="2" t="s">
        <v>1003</v>
      </c>
    </row>
    <row r="425" ht="22.5" customHeight="1">
      <c r="A425" s="2">
        <v>424.0</v>
      </c>
      <c r="B425" s="2" t="s">
        <v>1005</v>
      </c>
      <c r="C425" s="2" t="s">
        <v>270</v>
      </c>
      <c r="D425" s="2">
        <v>5738.0</v>
      </c>
      <c r="E425" s="5">
        <v>46061.0</v>
      </c>
      <c r="F425" s="5">
        <v>46059.0</v>
      </c>
      <c r="G425" s="2" t="s">
        <v>1006</v>
      </c>
      <c r="H425" s="2" t="s">
        <v>1007</v>
      </c>
      <c r="I425" s="2">
        <v>11476.0</v>
      </c>
    </row>
    <row r="426" ht="22.5" customHeight="1">
      <c r="A426" s="2">
        <v>425.0</v>
      </c>
      <c r="B426" s="2" t="s">
        <v>1008</v>
      </c>
      <c r="C426" s="2" t="s">
        <v>276</v>
      </c>
      <c r="D426" s="2">
        <v>305.0</v>
      </c>
      <c r="E426" s="5">
        <v>46057.0</v>
      </c>
      <c r="F426" s="5">
        <v>46115.0</v>
      </c>
      <c r="G426" s="2">
        <v>1281.0</v>
      </c>
      <c r="H426" s="7">
        <v>1037.0</v>
      </c>
      <c r="I426" s="2">
        <v>244.0</v>
      </c>
    </row>
    <row r="427" ht="22.5" customHeight="1">
      <c r="A427" s="2">
        <v>426.0</v>
      </c>
      <c r="B427" s="2" t="s">
        <v>1008</v>
      </c>
      <c r="C427" s="2" t="s">
        <v>276</v>
      </c>
      <c r="D427" s="2">
        <v>305.0</v>
      </c>
      <c r="E427" s="5">
        <v>46057.0</v>
      </c>
      <c r="F427" s="5">
        <v>46115.0</v>
      </c>
      <c r="G427" s="2">
        <v>1281.0</v>
      </c>
      <c r="H427" s="7">
        <v>1037.0</v>
      </c>
      <c r="I427" s="2">
        <v>244.0</v>
      </c>
    </row>
    <row r="428" ht="22.5" customHeight="1">
      <c r="A428" s="2">
        <v>427.0</v>
      </c>
      <c r="B428" s="2" t="s">
        <v>1009</v>
      </c>
      <c r="C428" s="2" t="s">
        <v>272</v>
      </c>
      <c r="D428" s="2">
        <v>2891.0</v>
      </c>
      <c r="E428" s="5">
        <v>46236.0</v>
      </c>
      <c r="F428" s="5">
        <v>46144.0</v>
      </c>
      <c r="G428" s="8">
        <v>2262527.0</v>
      </c>
      <c r="H428" s="8">
        <v>1945769.0</v>
      </c>
      <c r="I428" s="2" t="s">
        <v>1010</v>
      </c>
    </row>
    <row r="429" ht="22.5" customHeight="1">
      <c r="A429" s="2">
        <v>428.0</v>
      </c>
      <c r="B429" s="2" t="s">
        <v>1011</v>
      </c>
      <c r="C429" s="2" t="s">
        <v>317</v>
      </c>
      <c r="D429" s="2">
        <v>329.0</v>
      </c>
      <c r="E429" s="5">
        <v>46148.0</v>
      </c>
      <c r="F429" s="5">
        <v>46027.0</v>
      </c>
      <c r="G429" s="8">
        <v>87050.0</v>
      </c>
      <c r="H429" s="8" t="s">
        <v>1012</v>
      </c>
      <c r="I429" s="2" t="s">
        <v>1013</v>
      </c>
    </row>
    <row r="430" ht="22.5" customHeight="1">
      <c r="A430" s="2">
        <v>429.0</v>
      </c>
      <c r="B430" s="2" t="s">
        <v>1011</v>
      </c>
      <c r="C430" s="2" t="s">
        <v>272</v>
      </c>
      <c r="D430" s="2">
        <v>764.0</v>
      </c>
      <c r="E430" s="5">
        <v>46236.0</v>
      </c>
      <c r="F430" s="5">
        <v>46144.0</v>
      </c>
      <c r="G430" s="8">
        <v>87326.0</v>
      </c>
      <c r="H430" s="7">
        <v>1910.0</v>
      </c>
      <c r="I430" s="2" t="s">
        <v>1014</v>
      </c>
    </row>
    <row r="431" ht="22.5" customHeight="1">
      <c r="A431" s="2">
        <v>430.0</v>
      </c>
      <c r="B431" s="2" t="s">
        <v>1011</v>
      </c>
      <c r="C431" s="2" t="s">
        <v>272</v>
      </c>
      <c r="D431" s="2">
        <v>764.0</v>
      </c>
      <c r="E431" s="5">
        <v>46236.0</v>
      </c>
      <c r="F431" s="5">
        <v>46144.0</v>
      </c>
      <c r="G431" s="8">
        <v>87326.0</v>
      </c>
      <c r="H431" s="7">
        <v>1910.0</v>
      </c>
      <c r="I431" s="2" t="s">
        <v>1014</v>
      </c>
    </row>
    <row r="432" ht="22.5" customHeight="1">
      <c r="A432" s="2">
        <v>431.0</v>
      </c>
      <c r="B432" s="2" t="s">
        <v>1015</v>
      </c>
      <c r="C432" s="2" t="s">
        <v>276</v>
      </c>
      <c r="D432" s="2">
        <v>726.0</v>
      </c>
      <c r="E432" s="5">
        <v>46057.0</v>
      </c>
      <c r="F432" s="5">
        <v>46115.0</v>
      </c>
      <c r="G432" s="8">
        <v>419697.0</v>
      </c>
      <c r="H432" s="8">
        <v>207551.0</v>
      </c>
      <c r="I432" s="2" t="s">
        <v>1016</v>
      </c>
    </row>
    <row r="433" ht="22.5" customHeight="1">
      <c r="A433" s="2">
        <v>432.0</v>
      </c>
      <c r="B433" s="2" t="s">
        <v>1015</v>
      </c>
      <c r="C433" s="2" t="s">
        <v>276</v>
      </c>
      <c r="D433" s="2">
        <v>727.0</v>
      </c>
      <c r="E433" s="5">
        <v>46057.0</v>
      </c>
      <c r="F433" s="5">
        <v>46115.0</v>
      </c>
      <c r="G433" s="8">
        <v>421217.0</v>
      </c>
      <c r="H433" s="8">
        <v>208768.0</v>
      </c>
      <c r="I433" s="2" t="s">
        <v>1017</v>
      </c>
    </row>
    <row r="434" ht="22.5" customHeight="1">
      <c r="A434" s="2">
        <v>433.0</v>
      </c>
      <c r="B434" s="2" t="s">
        <v>1015</v>
      </c>
      <c r="C434" s="2" t="s">
        <v>276</v>
      </c>
      <c r="D434" s="2">
        <v>726.0</v>
      </c>
      <c r="E434" s="5">
        <v>46057.0</v>
      </c>
      <c r="F434" s="5">
        <v>46115.0</v>
      </c>
      <c r="G434" s="8">
        <v>419697.0</v>
      </c>
      <c r="H434" s="8">
        <v>207551.0</v>
      </c>
      <c r="I434" s="2" t="s">
        <v>1016</v>
      </c>
    </row>
    <row r="435" ht="22.5" customHeight="1">
      <c r="A435" s="2">
        <v>434.0</v>
      </c>
      <c r="B435" s="2" t="s">
        <v>1018</v>
      </c>
      <c r="C435" s="2" t="s">
        <v>272</v>
      </c>
      <c r="D435" s="2">
        <v>7060.0</v>
      </c>
      <c r="E435" s="5">
        <v>46236.0</v>
      </c>
      <c r="F435" s="5">
        <v>46144.0</v>
      </c>
      <c r="G435" s="2">
        <v>19768.0</v>
      </c>
      <c r="H435" s="7">
        <v>17650.0</v>
      </c>
      <c r="I435" s="2">
        <v>2118.0</v>
      </c>
    </row>
    <row r="436" ht="22.5" customHeight="1">
      <c r="A436" s="2">
        <v>435.0</v>
      </c>
      <c r="B436" s="2" t="s">
        <v>1018</v>
      </c>
      <c r="C436" s="2" t="s">
        <v>276</v>
      </c>
      <c r="D436" s="2">
        <v>4707.0</v>
      </c>
      <c r="E436" s="5">
        <v>46057.0</v>
      </c>
      <c r="F436" s="5">
        <v>46115.0</v>
      </c>
      <c r="G436" s="2" t="s">
        <v>1019</v>
      </c>
      <c r="H436" s="2" t="s">
        <v>1020</v>
      </c>
      <c r="I436" s="8">
        <v>681331.0</v>
      </c>
    </row>
    <row r="437" ht="22.5" customHeight="1">
      <c r="A437" s="2">
        <v>436.0</v>
      </c>
      <c r="B437" s="2" t="s">
        <v>1021</v>
      </c>
      <c r="C437" s="2" t="s">
        <v>291</v>
      </c>
      <c r="D437" s="2">
        <v>655.0</v>
      </c>
      <c r="E437" s="5">
        <v>46240.0</v>
      </c>
      <c r="F437" s="5">
        <v>46027.0</v>
      </c>
      <c r="G437" s="2">
        <v>4454.0</v>
      </c>
      <c r="H437" s="8">
        <v>526072.0</v>
      </c>
      <c r="I437" s="8" t="s">
        <v>1022</v>
      </c>
    </row>
    <row r="438" ht="22.5" customHeight="1">
      <c r="A438" s="2">
        <v>437.0</v>
      </c>
      <c r="B438" s="2" t="s">
        <v>1021</v>
      </c>
      <c r="C438" s="2" t="s">
        <v>311</v>
      </c>
      <c r="D438" s="2">
        <v>1060.0</v>
      </c>
      <c r="E438" s="5">
        <v>46057.0</v>
      </c>
      <c r="F438" s="5">
        <v>46084.0</v>
      </c>
      <c r="G438" s="2">
        <v>4452.0</v>
      </c>
      <c r="H438" s="7">
        <v>3498.0</v>
      </c>
      <c r="I438" s="2">
        <v>954.0</v>
      </c>
    </row>
    <row r="439" ht="22.5" customHeight="1">
      <c r="A439" s="2">
        <v>438.0</v>
      </c>
      <c r="B439" s="2" t="s">
        <v>1021</v>
      </c>
      <c r="C439" s="2" t="s">
        <v>311</v>
      </c>
      <c r="D439" s="2">
        <v>1060.0</v>
      </c>
      <c r="E439" s="5">
        <v>46057.0</v>
      </c>
      <c r="F439" s="5">
        <v>46084.0</v>
      </c>
      <c r="G439" s="2">
        <v>4452.0</v>
      </c>
      <c r="H439" s="7">
        <v>3498.0</v>
      </c>
      <c r="I439" s="2">
        <v>954.0</v>
      </c>
    </row>
    <row r="440" ht="22.5" customHeight="1">
      <c r="A440" s="2">
        <v>439.0</v>
      </c>
      <c r="B440" s="2" t="s">
        <v>1023</v>
      </c>
      <c r="C440" s="2" t="s">
        <v>270</v>
      </c>
      <c r="D440" s="2">
        <v>31810.0</v>
      </c>
      <c r="E440" s="5">
        <v>46061.0</v>
      </c>
      <c r="F440" s="5">
        <v>46059.0</v>
      </c>
      <c r="G440" s="2">
        <v>260842.0</v>
      </c>
      <c r="H440" s="7">
        <v>197222.0</v>
      </c>
      <c r="I440" s="2">
        <v>63620.0</v>
      </c>
    </row>
    <row r="441" ht="22.5" customHeight="1">
      <c r="A441" s="2">
        <v>440.0</v>
      </c>
      <c r="B441" s="2" t="s">
        <v>1023</v>
      </c>
      <c r="C441" s="2" t="s">
        <v>270</v>
      </c>
      <c r="D441" s="2">
        <v>31810.0</v>
      </c>
      <c r="E441" s="5">
        <v>46061.0</v>
      </c>
      <c r="F441" s="5">
        <v>46059.0</v>
      </c>
      <c r="G441" s="2">
        <v>260842.0</v>
      </c>
      <c r="H441" s="7">
        <v>197222.0</v>
      </c>
      <c r="I441" s="2">
        <v>63620.0</v>
      </c>
    </row>
    <row r="442" ht="22.5" customHeight="1">
      <c r="A442" s="2">
        <v>441.0</v>
      </c>
      <c r="B442" s="2" t="s">
        <v>1024</v>
      </c>
      <c r="C442" s="2" t="s">
        <v>291</v>
      </c>
      <c r="D442" s="2">
        <v>10433.0</v>
      </c>
      <c r="E442" s="5">
        <v>46240.0</v>
      </c>
      <c r="F442" s="5">
        <v>46027.0</v>
      </c>
      <c r="G442" s="2" t="s">
        <v>1025</v>
      </c>
      <c r="H442" s="2" t="s">
        <v>1026</v>
      </c>
      <c r="I442" s="2" t="s">
        <v>1027</v>
      </c>
    </row>
    <row r="443" ht="22.5" customHeight="1">
      <c r="A443" s="2">
        <v>442.0</v>
      </c>
      <c r="B443" s="2" t="s">
        <v>1024</v>
      </c>
      <c r="C443" s="2" t="s">
        <v>311</v>
      </c>
      <c r="D443" s="2">
        <v>16893.0</v>
      </c>
      <c r="E443" s="5">
        <v>46057.0</v>
      </c>
      <c r="F443" s="5">
        <v>46084.0</v>
      </c>
      <c r="G443" s="2" t="s">
        <v>1028</v>
      </c>
      <c r="H443" s="2" t="s">
        <v>1029</v>
      </c>
      <c r="I443" s="2" t="s">
        <v>1030</v>
      </c>
    </row>
    <row r="444" ht="22.5" customHeight="1">
      <c r="A444" s="2">
        <v>443.0</v>
      </c>
      <c r="B444" s="2" t="s">
        <v>1031</v>
      </c>
      <c r="C444" s="2" t="s">
        <v>317</v>
      </c>
      <c r="D444" s="2">
        <v>13502.0</v>
      </c>
      <c r="E444" s="5">
        <v>46148.0</v>
      </c>
      <c r="F444" s="5">
        <v>46027.0</v>
      </c>
      <c r="G444" s="2">
        <v>87763.0</v>
      </c>
      <c r="H444" s="2" t="s">
        <v>1032</v>
      </c>
      <c r="I444" s="2" t="s">
        <v>1033</v>
      </c>
    </row>
    <row r="445" ht="22.5" customHeight="1">
      <c r="A445" s="2">
        <v>444.0</v>
      </c>
      <c r="B445" s="2" t="s">
        <v>1034</v>
      </c>
      <c r="C445" s="2" t="s">
        <v>272</v>
      </c>
      <c r="D445" s="2">
        <v>977.0</v>
      </c>
      <c r="E445" s="5">
        <v>46236.0</v>
      </c>
      <c r="F445" s="5">
        <v>46144.0</v>
      </c>
      <c r="G445" s="8">
        <v>305130.0</v>
      </c>
      <c r="H445" s="8">
        <v>198084.0</v>
      </c>
      <c r="I445" s="2" t="s">
        <v>1035</v>
      </c>
    </row>
    <row r="446" ht="22.5" customHeight="1">
      <c r="A446" s="2">
        <v>445.0</v>
      </c>
      <c r="B446" s="2" t="s">
        <v>1034</v>
      </c>
      <c r="C446" s="2" t="s">
        <v>272</v>
      </c>
      <c r="D446" s="2">
        <v>977.0</v>
      </c>
      <c r="E446" s="5">
        <v>46236.0</v>
      </c>
      <c r="F446" s="5">
        <v>46144.0</v>
      </c>
      <c r="G446" s="8">
        <v>305130.0</v>
      </c>
      <c r="H446" s="8">
        <v>198084.0</v>
      </c>
      <c r="I446" s="2" t="s">
        <v>1035</v>
      </c>
    </row>
    <row r="447" ht="22.5" customHeight="1">
      <c r="A447" s="2">
        <v>446.0</v>
      </c>
      <c r="B447" s="2" t="s">
        <v>1034</v>
      </c>
      <c r="C447" s="2" t="s">
        <v>272</v>
      </c>
      <c r="D447" s="2">
        <v>976.0</v>
      </c>
      <c r="E447" s="5">
        <v>46236.0</v>
      </c>
      <c r="F447" s="5">
        <v>46144.0</v>
      </c>
      <c r="G447" s="8">
        <v>304096.0</v>
      </c>
      <c r="H447" s="7">
        <v>2440.0</v>
      </c>
      <c r="I447" s="2" t="s">
        <v>1036</v>
      </c>
    </row>
    <row r="448" ht="22.5" customHeight="1">
      <c r="A448" s="2">
        <v>447.0</v>
      </c>
      <c r="B448" s="2" t="s">
        <v>1037</v>
      </c>
      <c r="C448" s="2" t="s">
        <v>278</v>
      </c>
      <c r="D448" s="2">
        <v>20011.0</v>
      </c>
      <c r="E448" s="5">
        <v>46115.0</v>
      </c>
      <c r="F448" s="2" t="s">
        <v>279</v>
      </c>
      <c r="G448" s="2" t="s">
        <v>1038</v>
      </c>
      <c r="H448" s="2" t="s">
        <v>1039</v>
      </c>
      <c r="I448" s="2" t="s">
        <v>1040</v>
      </c>
    </row>
    <row r="449" ht="22.5" customHeight="1">
      <c r="A449" s="2">
        <v>448.0</v>
      </c>
      <c r="B449" s="2" t="s">
        <v>1041</v>
      </c>
      <c r="C449" s="2" t="s">
        <v>272</v>
      </c>
      <c r="D449" s="2">
        <v>1806.0</v>
      </c>
      <c r="E449" s="5">
        <v>46236.0</v>
      </c>
      <c r="F449" s="5">
        <v>46144.0</v>
      </c>
      <c r="G449" s="8">
        <v>1152920.0</v>
      </c>
      <c r="H449" s="7">
        <v>4515.0</v>
      </c>
      <c r="I449" s="2" t="s">
        <v>1042</v>
      </c>
    </row>
    <row r="450" ht="22.5" customHeight="1">
      <c r="A450" s="2">
        <v>449.0</v>
      </c>
      <c r="B450" s="2" t="s">
        <v>1041</v>
      </c>
      <c r="C450" s="2" t="s">
        <v>276</v>
      </c>
      <c r="D450" s="2">
        <v>1204.0</v>
      </c>
      <c r="E450" s="5">
        <v>46057.0</v>
      </c>
      <c r="F450" s="5">
        <v>46115.0</v>
      </c>
      <c r="G450" s="8">
        <v>1152920.0</v>
      </c>
      <c r="H450" s="8">
        <v>801131.0</v>
      </c>
      <c r="I450" s="2" t="s">
        <v>1043</v>
      </c>
    </row>
    <row r="451" ht="22.5" customHeight="1">
      <c r="A451" s="2">
        <v>450.0</v>
      </c>
      <c r="B451" s="2" t="s">
        <v>1044</v>
      </c>
      <c r="C451" s="2" t="s">
        <v>269</v>
      </c>
      <c r="D451" s="2">
        <v>962.0</v>
      </c>
      <c r="E451" s="5">
        <v>46058.0</v>
      </c>
      <c r="F451" s="6">
        <v>46146.0</v>
      </c>
      <c r="G451" s="8">
        <v>1133074.0</v>
      </c>
      <c r="H451" s="8">
        <v>729026.0</v>
      </c>
      <c r="I451" s="8" t="s">
        <v>1045</v>
      </c>
    </row>
    <row r="452" ht="22.5" customHeight="1">
      <c r="A452" s="2">
        <v>451.0</v>
      </c>
      <c r="B452" s="2" t="s">
        <v>1044</v>
      </c>
      <c r="C452" s="2" t="s">
        <v>278</v>
      </c>
      <c r="D452" s="2">
        <v>1471.0</v>
      </c>
      <c r="E452" s="5">
        <v>46115.0</v>
      </c>
      <c r="F452" s="2" t="s">
        <v>279</v>
      </c>
      <c r="G452" s="8">
        <v>1132709.0</v>
      </c>
      <c r="H452" s="2" t="s">
        <v>590</v>
      </c>
      <c r="I452" s="2" t="s">
        <v>591</v>
      </c>
    </row>
    <row r="453" ht="22.5" customHeight="1">
      <c r="A453" s="2">
        <v>452.0</v>
      </c>
      <c r="B453" s="2" t="s">
        <v>1044</v>
      </c>
      <c r="C453" s="2" t="s">
        <v>278</v>
      </c>
      <c r="D453" s="2">
        <v>1470.0</v>
      </c>
      <c r="E453" s="5">
        <v>46115.0</v>
      </c>
      <c r="F453" s="2" t="s">
        <v>279</v>
      </c>
      <c r="G453" s="2">
        <v>4998.0</v>
      </c>
      <c r="H453" s="8">
        <v>836163.0</v>
      </c>
      <c r="I453" s="2" t="s">
        <v>1046</v>
      </c>
    </row>
    <row r="454" ht="22.5" customHeight="1">
      <c r="A454" s="2">
        <v>453.0</v>
      </c>
      <c r="B454" s="2" t="s">
        <v>1047</v>
      </c>
      <c r="C454" s="2" t="s">
        <v>272</v>
      </c>
      <c r="D454" s="2">
        <v>2709.0</v>
      </c>
      <c r="E454" s="5">
        <v>46236.0</v>
      </c>
      <c r="F454" s="5">
        <v>46144.0</v>
      </c>
      <c r="G454" s="8">
        <v>2076437.0</v>
      </c>
      <c r="H454" s="8">
        <v>1779584.0</v>
      </c>
      <c r="I454" s="2" t="s">
        <v>1048</v>
      </c>
    </row>
    <row r="455" ht="22.5" customHeight="1">
      <c r="A455" s="2">
        <v>454.0</v>
      </c>
      <c r="B455" s="2" t="s">
        <v>1049</v>
      </c>
      <c r="C455" s="2" t="s">
        <v>269</v>
      </c>
      <c r="D455" s="2">
        <v>13447.0</v>
      </c>
      <c r="E455" s="5">
        <v>46058.0</v>
      </c>
      <c r="F455" s="6">
        <v>46146.0</v>
      </c>
      <c r="G455" s="2" t="s">
        <v>1050</v>
      </c>
      <c r="H455" s="2" t="s">
        <v>1051</v>
      </c>
      <c r="I455" s="2" t="s">
        <v>1052</v>
      </c>
    </row>
    <row r="456" ht="22.5" customHeight="1">
      <c r="A456" s="2">
        <v>455.0</v>
      </c>
      <c r="B456" s="2" t="s">
        <v>1049</v>
      </c>
      <c r="C456" s="2" t="s">
        <v>270</v>
      </c>
      <c r="D456" s="2">
        <v>8527.0</v>
      </c>
      <c r="E456" s="5">
        <v>46061.0</v>
      </c>
      <c r="F456" s="5">
        <v>46059.0</v>
      </c>
      <c r="G456" s="2" t="s">
        <v>1053</v>
      </c>
      <c r="H456" s="2" t="s">
        <v>1054</v>
      </c>
      <c r="I456" s="2">
        <v>17054.0</v>
      </c>
    </row>
    <row r="457" ht="22.5" customHeight="1">
      <c r="A457" s="2">
        <v>456.0</v>
      </c>
      <c r="B457" s="2" t="s">
        <v>1055</v>
      </c>
      <c r="C457" s="2" t="s">
        <v>272</v>
      </c>
      <c r="D457" s="2">
        <v>15385.0</v>
      </c>
      <c r="E457" s="5">
        <v>46236.0</v>
      </c>
      <c r="F457" s="5">
        <v>46144.0</v>
      </c>
      <c r="G457" s="2">
        <v>43078.0</v>
      </c>
      <c r="H457" s="2" t="s">
        <v>1056</v>
      </c>
      <c r="I457" s="8">
        <v>991755.0</v>
      </c>
    </row>
    <row r="458" ht="22.5" customHeight="1">
      <c r="A458" s="2">
        <v>457.0</v>
      </c>
      <c r="B458" s="2" t="s">
        <v>1055</v>
      </c>
      <c r="C458" s="2" t="s">
        <v>272</v>
      </c>
      <c r="D458" s="2">
        <v>15386.0</v>
      </c>
      <c r="E458" s="5">
        <v>46236.0</v>
      </c>
      <c r="F458" s="5">
        <v>46144.0</v>
      </c>
      <c r="G458" s="2" t="s">
        <v>1057</v>
      </c>
      <c r="H458" s="7">
        <v>38465.0</v>
      </c>
      <c r="I458" s="8">
        <v>991847.0</v>
      </c>
    </row>
    <row r="459" ht="22.5" customHeight="1">
      <c r="A459" s="2">
        <v>458.0</v>
      </c>
      <c r="B459" s="2" t="s">
        <v>1058</v>
      </c>
      <c r="C459" s="2" t="s">
        <v>272</v>
      </c>
      <c r="D459" s="2">
        <v>27204.0</v>
      </c>
      <c r="E459" s="5">
        <v>46236.0</v>
      </c>
      <c r="F459" s="5">
        <v>46144.0</v>
      </c>
      <c r="G459" s="2" t="s">
        <v>1059</v>
      </c>
      <c r="H459" s="7">
        <v>68010.0</v>
      </c>
      <c r="I459" s="8">
        <v>2286817.0</v>
      </c>
    </row>
    <row r="460" ht="22.5" customHeight="1">
      <c r="A460" s="2">
        <v>459.0</v>
      </c>
      <c r="B460" s="2" t="s">
        <v>1060</v>
      </c>
      <c r="C460" s="2" t="s">
        <v>276</v>
      </c>
      <c r="D460" s="2">
        <v>1912.0</v>
      </c>
      <c r="E460" s="5">
        <v>46057.0</v>
      </c>
      <c r="F460" s="5">
        <v>46115.0</v>
      </c>
      <c r="G460" s="8">
        <v>2239029.0</v>
      </c>
      <c r="H460" s="8">
        <v>1680330.0</v>
      </c>
      <c r="I460" s="8" t="s">
        <v>1061</v>
      </c>
    </row>
    <row r="461" ht="22.5" customHeight="1">
      <c r="A461" s="2">
        <v>460.0</v>
      </c>
      <c r="B461" s="2" t="s">
        <v>1062</v>
      </c>
      <c r="C461" s="2" t="s">
        <v>269</v>
      </c>
      <c r="D461" s="2">
        <v>4459.0</v>
      </c>
      <c r="E461" s="5">
        <v>46058.0</v>
      </c>
      <c r="F461" s="6">
        <v>46146.0</v>
      </c>
      <c r="G461" s="2" t="s">
        <v>1063</v>
      </c>
      <c r="H461" s="2" t="s">
        <v>1064</v>
      </c>
      <c r="I461" s="2" t="s">
        <v>1065</v>
      </c>
    </row>
    <row r="462" ht="22.5" customHeight="1">
      <c r="A462" s="2">
        <v>461.0</v>
      </c>
      <c r="B462" s="2" t="s">
        <v>1066</v>
      </c>
      <c r="C462" s="2" t="s">
        <v>278</v>
      </c>
      <c r="D462" s="2">
        <v>6091.0</v>
      </c>
      <c r="E462" s="5">
        <v>46115.0</v>
      </c>
      <c r="F462" s="2" t="s">
        <v>279</v>
      </c>
      <c r="G462" s="2" t="s">
        <v>1067</v>
      </c>
      <c r="H462" s="2" t="s">
        <v>1068</v>
      </c>
      <c r="I462" s="9">
        <v>529724.0</v>
      </c>
    </row>
    <row r="463" ht="22.5" customHeight="1">
      <c r="A463" s="2">
        <v>462.0</v>
      </c>
      <c r="B463" s="2" t="s">
        <v>1066</v>
      </c>
      <c r="C463" s="2" t="s">
        <v>278</v>
      </c>
      <c r="D463" s="2">
        <v>6092.0</v>
      </c>
      <c r="E463" s="5">
        <v>46115.0</v>
      </c>
      <c r="F463" s="2" t="s">
        <v>279</v>
      </c>
      <c r="G463" s="2" t="s">
        <v>1069</v>
      </c>
      <c r="H463" s="2" t="s">
        <v>1070</v>
      </c>
      <c r="I463" s="8">
        <v>529755.0</v>
      </c>
    </row>
    <row r="464" ht="22.5" customHeight="1">
      <c r="A464" s="2">
        <v>463.0</v>
      </c>
      <c r="B464" s="2" t="s">
        <v>1071</v>
      </c>
      <c r="C464" s="2" t="s">
        <v>272</v>
      </c>
      <c r="D464" s="2">
        <v>668.0</v>
      </c>
      <c r="E464" s="5">
        <v>46236.0</v>
      </c>
      <c r="F464" s="5">
        <v>46144.0</v>
      </c>
      <c r="G464" s="8" t="s">
        <v>1072</v>
      </c>
      <c r="H464" s="7">
        <v>1670.0</v>
      </c>
      <c r="I464" s="2" t="s">
        <v>1073</v>
      </c>
    </row>
    <row r="465" ht="22.5" customHeight="1">
      <c r="A465" s="2">
        <v>464.0</v>
      </c>
      <c r="B465" s="2" t="s">
        <v>1071</v>
      </c>
      <c r="C465" s="2" t="s">
        <v>276</v>
      </c>
      <c r="D465" s="2">
        <v>445.0</v>
      </c>
      <c r="E465" s="5">
        <v>46057.0</v>
      </c>
      <c r="F465" s="5">
        <v>46115.0</v>
      </c>
      <c r="G465" s="2">
        <v>1869.0</v>
      </c>
      <c r="H465" s="7">
        <v>1513.0</v>
      </c>
      <c r="I465" s="2">
        <v>356.0</v>
      </c>
    </row>
    <row r="466" ht="22.5" customHeight="1">
      <c r="A466" s="2">
        <v>465.0</v>
      </c>
      <c r="B466" s="2" t="s">
        <v>1071</v>
      </c>
      <c r="C466" s="2" t="s">
        <v>272</v>
      </c>
      <c r="D466" s="2">
        <v>669.0</v>
      </c>
      <c r="E466" s="5">
        <v>46236.0</v>
      </c>
      <c r="F466" s="5">
        <v>46144.0</v>
      </c>
      <c r="G466" s="8" t="s">
        <v>354</v>
      </c>
      <c r="H466" s="8" t="s">
        <v>355</v>
      </c>
      <c r="I466" s="2" t="s">
        <v>356</v>
      </c>
    </row>
    <row r="467" ht="22.5" customHeight="1">
      <c r="A467" s="2">
        <v>466.0</v>
      </c>
      <c r="B467" s="2" t="s">
        <v>1074</v>
      </c>
      <c r="C467" s="2" t="s">
        <v>272</v>
      </c>
      <c r="D467" s="2">
        <v>1900.0</v>
      </c>
      <c r="E467" s="5">
        <v>46236.0</v>
      </c>
      <c r="F467" s="5">
        <v>46144.0</v>
      </c>
      <c r="G467" s="2">
        <v>5320.0</v>
      </c>
      <c r="H467" s="7">
        <v>4750.0</v>
      </c>
      <c r="I467" s="2">
        <v>570.0</v>
      </c>
    </row>
    <row r="468" ht="22.5" customHeight="1">
      <c r="A468" s="2">
        <v>467.0</v>
      </c>
      <c r="B468" s="2" t="s">
        <v>1075</v>
      </c>
      <c r="C468" s="2" t="s">
        <v>272</v>
      </c>
      <c r="D468" s="2">
        <v>14509.0</v>
      </c>
      <c r="E468" s="5">
        <v>46236.0</v>
      </c>
      <c r="F468" s="5">
        <v>46144.0</v>
      </c>
      <c r="G468" s="2" t="s">
        <v>1076</v>
      </c>
      <c r="H468" s="2" t="s">
        <v>1077</v>
      </c>
      <c r="I468" s="8">
        <v>895758.0</v>
      </c>
    </row>
    <row r="469" ht="22.5" customHeight="1">
      <c r="A469" s="2">
        <v>468.0</v>
      </c>
      <c r="B469" s="2" t="s">
        <v>1078</v>
      </c>
      <c r="C469" s="2" t="s">
        <v>278</v>
      </c>
      <c r="D469" s="2">
        <v>5030.0</v>
      </c>
      <c r="E469" s="5">
        <v>46115.0</v>
      </c>
      <c r="F469" s="2" t="s">
        <v>279</v>
      </c>
      <c r="G469" s="2">
        <v>17102.0</v>
      </c>
      <c r="H469" s="2" t="s">
        <v>1079</v>
      </c>
      <c r="I469" s="8">
        <v>316422.0</v>
      </c>
    </row>
    <row r="470" ht="22.5" customHeight="1">
      <c r="A470" s="2">
        <v>469.0</v>
      </c>
      <c r="B470" s="2" t="s">
        <v>1078</v>
      </c>
      <c r="C470" s="2" t="s">
        <v>278</v>
      </c>
      <c r="D470" s="2">
        <v>5029.0</v>
      </c>
      <c r="E470" s="5">
        <v>46115.0</v>
      </c>
      <c r="F470" s="2" t="s">
        <v>279</v>
      </c>
      <c r="G470" s="2" t="s">
        <v>1080</v>
      </c>
      <c r="H470" s="2" t="s">
        <v>1081</v>
      </c>
      <c r="I470" s="2" t="s">
        <v>1082</v>
      </c>
    </row>
    <row r="471" ht="22.5" customHeight="1">
      <c r="A471" s="2">
        <v>470.0</v>
      </c>
      <c r="B471" s="2" t="s">
        <v>1083</v>
      </c>
      <c r="C471" s="2" t="s">
        <v>276</v>
      </c>
      <c r="D471" s="2">
        <v>18056.0</v>
      </c>
      <c r="E471" s="5">
        <v>46057.0</v>
      </c>
      <c r="F471" s="5">
        <v>46115.0</v>
      </c>
      <c r="G471" s="2" t="s">
        <v>1084</v>
      </c>
      <c r="H471" s="2" t="s">
        <v>1085</v>
      </c>
      <c r="I471" s="2" t="s">
        <v>1086</v>
      </c>
    </row>
    <row r="472" ht="22.5" customHeight="1">
      <c r="A472" s="2">
        <v>471.0</v>
      </c>
      <c r="B472" s="2" t="s">
        <v>1087</v>
      </c>
      <c r="C472" s="2" t="s">
        <v>276</v>
      </c>
      <c r="D472" s="2">
        <v>8637.0</v>
      </c>
      <c r="E472" s="5">
        <v>46057.0</v>
      </c>
      <c r="F472" s="5">
        <v>46115.0</v>
      </c>
      <c r="G472" s="2" t="s">
        <v>1088</v>
      </c>
      <c r="H472" s="2" t="s">
        <v>1089</v>
      </c>
      <c r="I472" s="8">
        <v>1829653.0</v>
      </c>
    </row>
    <row r="473" ht="22.5" customHeight="1">
      <c r="A473" s="2">
        <v>472.0</v>
      </c>
      <c r="B473" s="2" t="s">
        <v>1090</v>
      </c>
      <c r="C473" s="2" t="s">
        <v>272</v>
      </c>
      <c r="D473" s="2">
        <v>2216.0</v>
      </c>
      <c r="E473" s="5">
        <v>46236.0</v>
      </c>
      <c r="F473" s="5">
        <v>46144.0</v>
      </c>
      <c r="G473" s="8">
        <v>1572218.0</v>
      </c>
      <c r="H473" s="7">
        <v>5540.0</v>
      </c>
      <c r="I473" s="2" t="s">
        <v>1091</v>
      </c>
    </row>
    <row r="474" ht="22.5" customHeight="1">
      <c r="A474" s="2">
        <v>473.0</v>
      </c>
      <c r="B474" s="2" t="s">
        <v>1090</v>
      </c>
      <c r="C474" s="2" t="s">
        <v>272</v>
      </c>
      <c r="D474" s="2">
        <v>2216.0</v>
      </c>
      <c r="E474" s="5">
        <v>46236.0</v>
      </c>
      <c r="F474" s="5">
        <v>46144.0</v>
      </c>
      <c r="G474" s="8">
        <v>1572218.0</v>
      </c>
      <c r="H474" s="7">
        <v>5540.0</v>
      </c>
      <c r="I474" s="2" t="s">
        <v>1091</v>
      </c>
    </row>
    <row r="475" ht="22.5" customHeight="1">
      <c r="A475" s="2">
        <v>474.0</v>
      </c>
      <c r="B475" s="2" t="s">
        <v>1090</v>
      </c>
      <c r="C475" s="2" t="s">
        <v>272</v>
      </c>
      <c r="D475" s="2">
        <v>2215.0</v>
      </c>
      <c r="E475" s="5">
        <v>46236.0</v>
      </c>
      <c r="F475" s="5">
        <v>46144.0</v>
      </c>
      <c r="G475" s="2">
        <v>6202.0</v>
      </c>
      <c r="H475" s="8">
        <v>1328509.0</v>
      </c>
      <c r="I475" s="2" t="s">
        <v>1092</v>
      </c>
    </row>
    <row r="476" ht="22.5" customHeight="1">
      <c r="A476" s="2">
        <v>475.0</v>
      </c>
      <c r="B476" s="2" t="s">
        <v>1093</v>
      </c>
      <c r="C476" s="2" t="s">
        <v>276</v>
      </c>
      <c r="D476" s="2">
        <v>888.0</v>
      </c>
      <c r="E476" s="5">
        <v>46057.0</v>
      </c>
      <c r="F476" s="5">
        <v>46115.0</v>
      </c>
      <c r="G476" s="8">
        <v>668182.0</v>
      </c>
      <c r="H476" s="8">
        <v>408739.0</v>
      </c>
      <c r="I476" s="2" t="s">
        <v>1094</v>
      </c>
    </row>
    <row r="477" ht="22.5" customHeight="1">
      <c r="A477" s="2">
        <v>476.0</v>
      </c>
      <c r="B477" s="2" t="s">
        <v>1093</v>
      </c>
      <c r="C477" s="2" t="s">
        <v>272</v>
      </c>
      <c r="D477" s="2">
        <v>1332.0</v>
      </c>
      <c r="E477" s="5">
        <v>46236.0</v>
      </c>
      <c r="F477" s="5">
        <v>46144.0</v>
      </c>
      <c r="G477" s="8">
        <v>668182.0</v>
      </c>
      <c r="H477" s="7">
        <v>3330.0</v>
      </c>
      <c r="I477" s="2" t="s">
        <v>1095</v>
      </c>
    </row>
    <row r="478" ht="22.5" customHeight="1">
      <c r="A478" s="2">
        <v>477.0</v>
      </c>
      <c r="B478" s="2" t="s">
        <v>1093</v>
      </c>
      <c r="C478" s="2" t="s">
        <v>272</v>
      </c>
      <c r="D478" s="2">
        <v>1333.0</v>
      </c>
      <c r="E478" s="5">
        <v>46236.0</v>
      </c>
      <c r="F478" s="5">
        <v>46144.0</v>
      </c>
      <c r="G478" s="8">
        <v>669217.0</v>
      </c>
      <c r="H478" s="8">
        <v>523150.0</v>
      </c>
      <c r="I478" s="2" t="s">
        <v>1096</v>
      </c>
    </row>
    <row r="479" ht="22.5" customHeight="1">
      <c r="A479" s="2">
        <v>478.0</v>
      </c>
      <c r="B479" s="2" t="s">
        <v>1097</v>
      </c>
      <c r="C479" s="2" t="s">
        <v>272</v>
      </c>
      <c r="D479" s="2">
        <v>2529.0</v>
      </c>
      <c r="E479" s="5">
        <v>46236.0</v>
      </c>
      <c r="F479" s="5">
        <v>46144.0</v>
      </c>
      <c r="G479" s="8">
        <v>1892355.0</v>
      </c>
      <c r="H479" s="8">
        <v>1615224.0</v>
      </c>
      <c r="I479" s="2" t="s">
        <v>1098</v>
      </c>
    </row>
    <row r="480" ht="22.5" customHeight="1">
      <c r="A480" s="2">
        <v>479.0</v>
      </c>
      <c r="B480" s="2" t="s">
        <v>1097</v>
      </c>
      <c r="C480" s="2" t="s">
        <v>272</v>
      </c>
      <c r="D480" s="2">
        <v>2529.0</v>
      </c>
      <c r="E480" s="5">
        <v>46236.0</v>
      </c>
      <c r="F480" s="5">
        <v>46144.0</v>
      </c>
      <c r="G480" s="8">
        <v>1892355.0</v>
      </c>
      <c r="H480" s="8">
        <v>1615224.0</v>
      </c>
      <c r="I480" s="2" t="s">
        <v>1098</v>
      </c>
    </row>
    <row r="481" ht="22.5" customHeight="1">
      <c r="A481" s="2">
        <v>480.0</v>
      </c>
      <c r="B481" s="2" t="s">
        <v>1097</v>
      </c>
      <c r="C481" s="2" t="s">
        <v>317</v>
      </c>
      <c r="D481" s="2">
        <v>1089.0</v>
      </c>
      <c r="E481" s="5">
        <v>46148.0</v>
      </c>
      <c r="F481" s="5">
        <v>46027.0</v>
      </c>
      <c r="G481" s="8">
        <v>1891348.0</v>
      </c>
      <c r="H481" s="8">
        <v>1334476.0</v>
      </c>
      <c r="I481" s="8" t="s">
        <v>1099</v>
      </c>
    </row>
    <row r="482" ht="22.5" customHeight="1">
      <c r="A482" s="2">
        <v>481.0</v>
      </c>
      <c r="B482" s="2" t="s">
        <v>1100</v>
      </c>
      <c r="C482" s="2" t="s">
        <v>272</v>
      </c>
      <c r="D482" s="2">
        <v>2112.0</v>
      </c>
      <c r="E482" s="5">
        <v>46236.0</v>
      </c>
      <c r="F482" s="5">
        <v>46144.0</v>
      </c>
      <c r="G482" s="8">
        <v>1465871.0</v>
      </c>
      <c r="H482" s="7">
        <v>5280.0</v>
      </c>
      <c r="I482" s="2" t="s">
        <v>1101</v>
      </c>
    </row>
    <row r="483" ht="22.5" customHeight="1">
      <c r="A483" s="2">
        <v>482.0</v>
      </c>
      <c r="B483" s="2" t="s">
        <v>1100</v>
      </c>
      <c r="C483" s="2" t="s">
        <v>276</v>
      </c>
      <c r="D483" s="2">
        <v>1408.0</v>
      </c>
      <c r="E483" s="5">
        <v>46057.0</v>
      </c>
      <c r="F483" s="5">
        <v>46115.0</v>
      </c>
      <c r="G483" s="8">
        <v>1465871.0</v>
      </c>
      <c r="H483" s="8">
        <v>1054488.0</v>
      </c>
      <c r="I483" s="8" t="s">
        <v>1102</v>
      </c>
    </row>
    <row r="484" ht="22.5" customHeight="1">
      <c r="A484" s="2">
        <v>483.0</v>
      </c>
      <c r="B484" s="2" t="s">
        <v>1103</v>
      </c>
      <c r="C484" s="2" t="s">
        <v>272</v>
      </c>
      <c r="D484" s="2">
        <v>1028.0</v>
      </c>
      <c r="E484" s="5">
        <v>46236.0</v>
      </c>
      <c r="F484" s="5">
        <v>46144.0</v>
      </c>
      <c r="G484" s="8">
        <v>357300.0</v>
      </c>
      <c r="H484" s="7">
        <v>2570.0</v>
      </c>
      <c r="I484" s="2" t="s">
        <v>1104</v>
      </c>
    </row>
    <row r="485" ht="22.5" customHeight="1">
      <c r="A485" s="2">
        <v>484.0</v>
      </c>
      <c r="B485" s="2" t="s">
        <v>1103</v>
      </c>
      <c r="C485" s="2" t="s">
        <v>272</v>
      </c>
      <c r="D485" s="2">
        <v>1028.0</v>
      </c>
      <c r="E485" s="5">
        <v>46236.0</v>
      </c>
      <c r="F485" s="5">
        <v>46144.0</v>
      </c>
      <c r="G485" s="8">
        <v>357300.0</v>
      </c>
      <c r="H485" s="7">
        <v>2570.0</v>
      </c>
      <c r="I485" s="2" t="s">
        <v>1104</v>
      </c>
    </row>
    <row r="486" ht="22.5" customHeight="1">
      <c r="A486" s="2">
        <v>485.0</v>
      </c>
      <c r="B486" s="2" t="s">
        <v>1103</v>
      </c>
      <c r="C486" s="2" t="s">
        <v>272</v>
      </c>
      <c r="D486" s="2">
        <v>1028.0</v>
      </c>
      <c r="E486" s="5">
        <v>46236.0</v>
      </c>
      <c r="F486" s="5">
        <v>46144.0</v>
      </c>
      <c r="G486" s="8">
        <v>357300.0</v>
      </c>
      <c r="H486" s="7">
        <v>2570.0</v>
      </c>
      <c r="I486" s="2" t="s">
        <v>1104</v>
      </c>
    </row>
    <row r="487" ht="22.5" customHeight="1">
      <c r="A487" s="2">
        <v>486.0</v>
      </c>
      <c r="B487" s="2" t="s">
        <v>1105</v>
      </c>
      <c r="C487" s="2" t="s">
        <v>276</v>
      </c>
      <c r="D487" s="2">
        <v>1482.0</v>
      </c>
      <c r="E487" s="5">
        <v>46057.0</v>
      </c>
      <c r="F487" s="5">
        <v>46115.0</v>
      </c>
      <c r="G487" s="8">
        <v>1579401.0</v>
      </c>
      <c r="H487" s="8">
        <v>1146345.0</v>
      </c>
      <c r="I487" s="8" t="s">
        <v>1106</v>
      </c>
    </row>
    <row r="488" ht="22.5" customHeight="1">
      <c r="A488" s="2">
        <v>487.0</v>
      </c>
      <c r="B488" s="2" t="s">
        <v>1107</v>
      </c>
      <c r="C488" s="2" t="s">
        <v>276</v>
      </c>
      <c r="D488" s="2">
        <v>1260.0</v>
      </c>
      <c r="E488" s="5">
        <v>46057.0</v>
      </c>
      <c r="F488" s="5">
        <v>46115.0</v>
      </c>
      <c r="G488" s="2">
        <v>5292.0</v>
      </c>
      <c r="H488" s="7">
        <v>4284.0</v>
      </c>
      <c r="I488" s="2">
        <v>1008.0</v>
      </c>
    </row>
    <row r="489" ht="22.5" customHeight="1">
      <c r="A489" s="2">
        <v>488.0</v>
      </c>
      <c r="B489" s="2" t="s">
        <v>1107</v>
      </c>
      <c r="C489" s="2" t="s">
        <v>272</v>
      </c>
      <c r="D489" s="2">
        <v>1890.0</v>
      </c>
      <c r="E489" s="5">
        <v>46236.0</v>
      </c>
      <c r="F489" s="5">
        <v>46144.0</v>
      </c>
      <c r="G489" s="2">
        <v>5292.0</v>
      </c>
      <c r="H489" s="7">
        <v>4725.0</v>
      </c>
      <c r="I489" s="2">
        <v>567.0</v>
      </c>
    </row>
    <row r="490" ht="22.5" customHeight="1">
      <c r="A490" s="2">
        <v>489.0</v>
      </c>
      <c r="B490" s="2" t="s">
        <v>1108</v>
      </c>
      <c r="C490" s="2" t="s">
        <v>270</v>
      </c>
      <c r="D490" s="2">
        <v>1349.0</v>
      </c>
      <c r="E490" s="5">
        <v>46061.0</v>
      </c>
      <c r="F490" s="5">
        <v>46059.0</v>
      </c>
      <c r="G490" s="2" t="s">
        <v>1109</v>
      </c>
      <c r="H490" s="8">
        <v>2360776.0</v>
      </c>
      <c r="I490" s="2">
        <v>2698.0</v>
      </c>
    </row>
    <row r="491" ht="22.5" customHeight="1">
      <c r="A491" s="2">
        <v>490.0</v>
      </c>
      <c r="B491" s="2" t="s">
        <v>1108</v>
      </c>
      <c r="C491" s="2" t="s">
        <v>278</v>
      </c>
      <c r="D491" s="2">
        <v>3254.0</v>
      </c>
      <c r="E491" s="5">
        <v>46115.0</v>
      </c>
      <c r="F491" s="2" t="s">
        <v>279</v>
      </c>
      <c r="G491" s="2" t="s">
        <v>1110</v>
      </c>
      <c r="H491" s="8">
        <v>2693179.0</v>
      </c>
      <c r="I491" s="8" t="s">
        <v>1111</v>
      </c>
    </row>
    <row r="492" ht="22.5" customHeight="1">
      <c r="A492" s="2">
        <v>491.0</v>
      </c>
      <c r="B492" s="2" t="s">
        <v>1112</v>
      </c>
      <c r="C492" s="2" t="s">
        <v>276</v>
      </c>
      <c r="D492" s="2">
        <v>940.0</v>
      </c>
      <c r="E492" s="5">
        <v>46057.0</v>
      </c>
      <c r="F492" s="5">
        <v>46115.0</v>
      </c>
      <c r="G492" s="2">
        <v>3948.0</v>
      </c>
      <c r="H492" s="7">
        <v>3196.0</v>
      </c>
      <c r="I492" s="2">
        <v>752.0</v>
      </c>
    </row>
    <row r="493" ht="22.5" customHeight="1">
      <c r="A493" s="2">
        <v>492.0</v>
      </c>
      <c r="B493" s="2" t="s">
        <v>1112</v>
      </c>
      <c r="C493" s="2" t="s">
        <v>276</v>
      </c>
      <c r="D493" s="2">
        <v>940.0</v>
      </c>
      <c r="E493" s="5">
        <v>46057.0</v>
      </c>
      <c r="F493" s="5">
        <v>46115.0</v>
      </c>
      <c r="G493" s="2">
        <v>3948.0</v>
      </c>
      <c r="H493" s="7">
        <v>3196.0</v>
      </c>
      <c r="I493" s="2">
        <v>752.0</v>
      </c>
    </row>
    <row r="494" ht="22.5" customHeight="1">
      <c r="A494" s="2">
        <v>493.0</v>
      </c>
      <c r="B494" s="2" t="s">
        <v>1112</v>
      </c>
      <c r="C494" s="2" t="s">
        <v>317</v>
      </c>
      <c r="D494" s="2">
        <v>607.0</v>
      </c>
      <c r="E494" s="5">
        <v>46148.0</v>
      </c>
      <c r="F494" s="5">
        <v>46027.0</v>
      </c>
      <c r="G494" s="8">
        <v>747043.0</v>
      </c>
      <c r="H494" s="8">
        <v>436648.0</v>
      </c>
      <c r="I494" s="2" t="s">
        <v>1113</v>
      </c>
    </row>
    <row r="495" ht="22.5" customHeight="1">
      <c r="A495" s="2">
        <v>494.0</v>
      </c>
      <c r="B495" s="2" t="s">
        <v>1114</v>
      </c>
      <c r="C495" s="2" t="s">
        <v>272</v>
      </c>
      <c r="D495" s="2">
        <v>2478.0</v>
      </c>
      <c r="E495" s="5">
        <v>46236.0</v>
      </c>
      <c r="F495" s="5">
        <v>46144.0</v>
      </c>
      <c r="G495" s="8">
        <v>1840184.0</v>
      </c>
      <c r="H495" s="7">
        <v>6195.0</v>
      </c>
      <c r="I495" s="2" t="s">
        <v>1115</v>
      </c>
    </row>
    <row r="496" ht="22.5" customHeight="1">
      <c r="A496" s="2">
        <v>495.0</v>
      </c>
      <c r="B496" s="2" t="s">
        <v>1114</v>
      </c>
      <c r="C496" s="2" t="s">
        <v>272</v>
      </c>
      <c r="D496" s="2">
        <v>2479.0</v>
      </c>
      <c r="E496" s="5">
        <v>46236.0</v>
      </c>
      <c r="F496" s="5">
        <v>46144.0</v>
      </c>
      <c r="G496" s="8">
        <v>1841221.0</v>
      </c>
      <c r="H496" s="8">
        <v>1569570.0</v>
      </c>
      <c r="I496" s="2" t="s">
        <v>1116</v>
      </c>
    </row>
    <row r="497" ht="22.5" customHeight="1">
      <c r="A497" s="2">
        <v>496.0</v>
      </c>
      <c r="B497" s="2" t="s">
        <v>1114</v>
      </c>
      <c r="C497" s="2" t="s">
        <v>272</v>
      </c>
      <c r="D497" s="2">
        <v>2478.0</v>
      </c>
      <c r="E497" s="5">
        <v>46236.0</v>
      </c>
      <c r="F497" s="5">
        <v>46144.0</v>
      </c>
      <c r="G497" s="8">
        <v>1840184.0</v>
      </c>
      <c r="H497" s="7">
        <v>6195.0</v>
      </c>
      <c r="I497" s="2" t="s">
        <v>1115</v>
      </c>
    </row>
    <row r="498" ht="22.5" customHeight="1">
      <c r="A498" s="2">
        <v>497.0</v>
      </c>
      <c r="B498" s="2" t="s">
        <v>1117</v>
      </c>
      <c r="C498" s="2" t="s">
        <v>269</v>
      </c>
      <c r="D498" s="2">
        <v>2008.0</v>
      </c>
      <c r="E498" s="5">
        <v>46058.0</v>
      </c>
      <c r="F498" s="6">
        <v>46146.0</v>
      </c>
      <c r="G498" s="2" t="s">
        <v>1118</v>
      </c>
      <c r="H498" s="8">
        <v>2276284.0</v>
      </c>
      <c r="I498" s="8">
        <v>149417.0</v>
      </c>
    </row>
    <row r="499" ht="22.5" customHeight="1">
      <c r="A499" s="2">
        <v>498.0</v>
      </c>
      <c r="B499" s="2" t="s">
        <v>1117</v>
      </c>
      <c r="C499" s="2" t="s">
        <v>278</v>
      </c>
      <c r="D499" s="2">
        <v>3071.0</v>
      </c>
      <c r="E499" s="5">
        <v>46115.0</v>
      </c>
      <c r="F499" s="2" t="s">
        <v>279</v>
      </c>
      <c r="G499" s="2" t="s">
        <v>1119</v>
      </c>
      <c r="H499" s="2" t="s">
        <v>1120</v>
      </c>
      <c r="I499" s="9" t="s">
        <v>1121</v>
      </c>
    </row>
    <row r="500" ht="22.5" customHeight="1">
      <c r="A500" s="2">
        <v>499.0</v>
      </c>
      <c r="B500" s="2" t="s">
        <v>1117</v>
      </c>
      <c r="C500" s="2" t="s">
        <v>270</v>
      </c>
      <c r="D500" s="2">
        <v>1273.0</v>
      </c>
      <c r="E500" s="5">
        <v>46061.0</v>
      </c>
      <c r="F500" s="5">
        <v>46059.0</v>
      </c>
      <c r="G500" s="2" t="s">
        <v>1122</v>
      </c>
      <c r="H500" s="8">
        <v>2188687.0</v>
      </c>
      <c r="I500" s="2">
        <v>2546.0</v>
      </c>
    </row>
    <row r="501" ht="22.5" customHeight="1">
      <c r="A501" s="2">
        <v>500.0</v>
      </c>
      <c r="B501" s="2" t="s">
        <v>1123</v>
      </c>
      <c r="C501" s="2" t="s">
        <v>317</v>
      </c>
      <c r="D501" s="2">
        <v>474.0</v>
      </c>
      <c r="E501" s="5">
        <v>46148.0</v>
      </c>
      <c r="F501" s="5">
        <v>46027.0</v>
      </c>
      <c r="G501" s="2">
        <v>3081.0</v>
      </c>
      <c r="H501" s="8">
        <v>188923.0</v>
      </c>
      <c r="I501" s="2" t="s">
        <v>1124</v>
      </c>
    </row>
    <row r="502" ht="22.5" customHeight="1">
      <c r="A502" s="2">
        <v>501.0</v>
      </c>
      <c r="B502" s="2" t="s">
        <v>1123</v>
      </c>
      <c r="C502" s="2" t="s">
        <v>272</v>
      </c>
      <c r="D502" s="2">
        <v>1099.0</v>
      </c>
      <c r="E502" s="5">
        <v>46236.0</v>
      </c>
      <c r="F502" s="5">
        <v>46144.0</v>
      </c>
      <c r="G502" s="8">
        <v>429924.0</v>
      </c>
      <c r="H502" s="8">
        <v>309482.0</v>
      </c>
      <c r="I502" s="2" t="s">
        <v>1125</v>
      </c>
    </row>
    <row r="503" ht="22.5" customHeight="1">
      <c r="A503" s="2">
        <v>502.0</v>
      </c>
      <c r="B503" s="2" t="s">
        <v>1123</v>
      </c>
      <c r="C503" s="2" t="s">
        <v>272</v>
      </c>
      <c r="D503" s="2">
        <v>1100.0</v>
      </c>
      <c r="E503" s="5">
        <v>46236.0</v>
      </c>
      <c r="F503" s="5">
        <v>46144.0</v>
      </c>
      <c r="G503" s="2">
        <v>3080.0</v>
      </c>
      <c r="H503" s="7">
        <v>2750.0</v>
      </c>
      <c r="I503" s="2">
        <v>330.0</v>
      </c>
    </row>
    <row r="504" ht="22.5" customHeight="1">
      <c r="A504" s="2">
        <v>503.0</v>
      </c>
      <c r="B504" s="2" t="s">
        <v>1126</v>
      </c>
      <c r="C504" s="2" t="s">
        <v>272</v>
      </c>
      <c r="D504" s="2">
        <v>3589.0</v>
      </c>
      <c r="E504" s="5">
        <v>46236.0</v>
      </c>
      <c r="F504" s="5">
        <v>46144.0</v>
      </c>
      <c r="G504" s="2" t="s">
        <v>1127</v>
      </c>
      <c r="H504" s="8">
        <v>2583118.0</v>
      </c>
      <c r="I504" s="8" t="s">
        <v>1128</v>
      </c>
    </row>
    <row r="505" ht="22.5" customHeight="1">
      <c r="A505" s="2">
        <v>504.0</v>
      </c>
      <c r="B505" s="2" t="s">
        <v>1126</v>
      </c>
      <c r="C505" s="2" t="s">
        <v>272</v>
      </c>
      <c r="D505" s="2">
        <v>3589.0</v>
      </c>
      <c r="E505" s="5">
        <v>46236.0</v>
      </c>
      <c r="F505" s="5">
        <v>46144.0</v>
      </c>
      <c r="G505" s="2" t="s">
        <v>1127</v>
      </c>
      <c r="H505" s="8">
        <v>2583118.0</v>
      </c>
      <c r="I505" s="8" t="s">
        <v>1128</v>
      </c>
    </row>
    <row r="506" ht="22.5" customHeight="1">
      <c r="A506" s="2">
        <v>505.0</v>
      </c>
      <c r="B506" s="2" t="s">
        <v>1126</v>
      </c>
      <c r="C506" s="2" t="s">
        <v>276</v>
      </c>
      <c r="D506" s="2">
        <v>2392.0</v>
      </c>
      <c r="E506" s="5">
        <v>46057.0</v>
      </c>
      <c r="F506" s="5">
        <v>46115.0</v>
      </c>
      <c r="G506" s="2" t="s">
        <v>1129</v>
      </c>
      <c r="H506" s="8">
        <v>2276406.0</v>
      </c>
      <c r="I506" s="8">
        <v>4901.0</v>
      </c>
    </row>
    <row r="507" ht="22.5" customHeight="1">
      <c r="A507" s="2">
        <v>506.0</v>
      </c>
      <c r="B507" s="2" t="s">
        <v>1130</v>
      </c>
      <c r="C507" s="2" t="s">
        <v>272</v>
      </c>
      <c r="D507" s="2">
        <v>6317.0</v>
      </c>
      <c r="E507" s="5">
        <v>46236.0</v>
      </c>
      <c r="F507" s="5">
        <v>46144.0</v>
      </c>
      <c r="G507" s="2" t="s">
        <v>1131</v>
      </c>
      <c r="H507" s="2" t="s">
        <v>1132</v>
      </c>
      <c r="I507" s="8" t="s">
        <v>1133</v>
      </c>
    </row>
    <row r="508" ht="22.5" customHeight="1">
      <c r="A508" s="2">
        <v>507.0</v>
      </c>
      <c r="B508" s="2" t="s">
        <v>1130</v>
      </c>
      <c r="C508" s="2" t="s">
        <v>317</v>
      </c>
      <c r="D508" s="2">
        <v>2721.0</v>
      </c>
      <c r="E508" s="5">
        <v>46148.0</v>
      </c>
      <c r="F508" s="5">
        <v>46027.0</v>
      </c>
      <c r="G508" s="2" t="s">
        <v>1134</v>
      </c>
      <c r="H508" s="2" t="s">
        <v>1135</v>
      </c>
      <c r="I508" s="8">
        <v>697340.0</v>
      </c>
    </row>
    <row r="509" ht="22.5" customHeight="1">
      <c r="A509" s="2">
        <v>508.0</v>
      </c>
      <c r="B509" s="2" t="s">
        <v>1130</v>
      </c>
      <c r="C509" s="2" t="s">
        <v>276</v>
      </c>
      <c r="D509" s="2">
        <v>4211.0</v>
      </c>
      <c r="E509" s="5">
        <v>46057.0</v>
      </c>
      <c r="F509" s="5">
        <v>46115.0</v>
      </c>
      <c r="G509" s="2" t="s">
        <v>1136</v>
      </c>
      <c r="H509" s="2" t="s">
        <v>1137</v>
      </c>
      <c r="I509" s="8">
        <v>536391.0</v>
      </c>
    </row>
    <row r="510" ht="22.5" customHeight="1">
      <c r="A510" s="2">
        <v>509.0</v>
      </c>
      <c r="B510" s="2" t="s">
        <v>1138</v>
      </c>
      <c r="C510" s="2" t="s">
        <v>272</v>
      </c>
      <c r="D510" s="2">
        <v>1151.0</v>
      </c>
      <c r="E510" s="5">
        <v>46236.0</v>
      </c>
      <c r="F510" s="5">
        <v>46144.0</v>
      </c>
      <c r="G510" s="8">
        <v>483065.0</v>
      </c>
      <c r="H510" s="8">
        <v>356965.0</v>
      </c>
      <c r="I510" s="2" t="s">
        <v>1139</v>
      </c>
    </row>
    <row r="511" ht="22.5" customHeight="1">
      <c r="A511" s="2">
        <v>510.0</v>
      </c>
      <c r="B511" s="2" t="s">
        <v>1138</v>
      </c>
      <c r="C511" s="2" t="s">
        <v>276</v>
      </c>
      <c r="D511" s="2">
        <v>767.0</v>
      </c>
      <c r="E511" s="5">
        <v>46057.0</v>
      </c>
      <c r="F511" s="5">
        <v>46115.0</v>
      </c>
      <c r="G511" s="8">
        <v>482578.0</v>
      </c>
      <c r="H511" s="8">
        <v>258440.0</v>
      </c>
      <c r="I511" s="2" t="s">
        <v>1140</v>
      </c>
    </row>
    <row r="512" ht="22.5" customHeight="1">
      <c r="A512" s="2">
        <v>511.0</v>
      </c>
      <c r="B512" s="2" t="s">
        <v>1138</v>
      </c>
      <c r="C512" s="2" t="s">
        <v>276</v>
      </c>
      <c r="D512" s="2">
        <v>767.0</v>
      </c>
      <c r="E512" s="5">
        <v>46057.0</v>
      </c>
      <c r="F512" s="5">
        <v>46115.0</v>
      </c>
      <c r="G512" s="8">
        <v>482578.0</v>
      </c>
      <c r="H512" s="8">
        <v>258440.0</v>
      </c>
      <c r="I512" s="2" t="s">
        <v>1140</v>
      </c>
    </row>
    <row r="513" ht="22.5" customHeight="1">
      <c r="A513" s="2">
        <v>512.0</v>
      </c>
      <c r="B513" s="2" t="s">
        <v>1141</v>
      </c>
      <c r="C513" s="2" t="s">
        <v>272</v>
      </c>
      <c r="D513" s="2">
        <v>1025.0</v>
      </c>
      <c r="E513" s="5">
        <v>46236.0</v>
      </c>
      <c r="F513" s="5">
        <v>46144.0</v>
      </c>
      <c r="G513" s="2">
        <v>2870.0</v>
      </c>
      <c r="H513" s="8">
        <v>241913.0</v>
      </c>
      <c r="I513" s="2" t="s">
        <v>1142</v>
      </c>
    </row>
    <row r="514" ht="22.5" customHeight="1">
      <c r="A514" s="2">
        <v>513.0</v>
      </c>
      <c r="B514" s="2" t="s">
        <v>1141</v>
      </c>
      <c r="C514" s="2" t="s">
        <v>276</v>
      </c>
      <c r="D514" s="2">
        <v>684.0</v>
      </c>
      <c r="E514" s="5">
        <v>46057.0</v>
      </c>
      <c r="F514" s="5">
        <v>46115.0</v>
      </c>
      <c r="G514" s="8">
        <v>355231.0</v>
      </c>
      <c r="H514" s="8">
        <v>155381.0</v>
      </c>
      <c r="I514" s="2" t="s">
        <v>1143</v>
      </c>
    </row>
    <row r="515" ht="22.5" customHeight="1">
      <c r="A515" s="2">
        <v>514.0</v>
      </c>
      <c r="B515" s="2" t="s">
        <v>1144</v>
      </c>
      <c r="C515" s="2" t="s">
        <v>269</v>
      </c>
      <c r="D515" s="2">
        <v>544.0</v>
      </c>
      <c r="E515" s="5">
        <v>46058.0</v>
      </c>
      <c r="F515" s="6">
        <v>46146.0</v>
      </c>
      <c r="G515" s="8">
        <v>339160.0</v>
      </c>
      <c r="H515" s="8">
        <v>110701.0</v>
      </c>
      <c r="I515" s="2" t="s">
        <v>1145</v>
      </c>
    </row>
    <row r="516" ht="22.5" customHeight="1">
      <c r="A516" s="2">
        <v>515.0</v>
      </c>
      <c r="B516" s="2" t="s">
        <v>1144</v>
      </c>
      <c r="C516" s="2" t="s">
        <v>278</v>
      </c>
      <c r="D516" s="2">
        <v>832.0</v>
      </c>
      <c r="E516" s="5">
        <v>46115.0</v>
      </c>
      <c r="F516" s="2" t="s">
        <v>279</v>
      </c>
      <c r="G516" s="8">
        <v>339160.0</v>
      </c>
      <c r="H516" s="8">
        <v>172062.0</v>
      </c>
      <c r="I516" s="2" t="s">
        <v>1146</v>
      </c>
    </row>
    <row r="517" ht="22.5" customHeight="1">
      <c r="A517" s="2">
        <v>516.0</v>
      </c>
      <c r="B517" s="2" t="s">
        <v>1144</v>
      </c>
      <c r="C517" s="2" t="s">
        <v>269</v>
      </c>
      <c r="D517" s="2">
        <v>544.0</v>
      </c>
      <c r="E517" s="5">
        <v>46058.0</v>
      </c>
      <c r="F517" s="6">
        <v>46146.0</v>
      </c>
      <c r="G517" s="8">
        <v>339160.0</v>
      </c>
      <c r="H517" s="8">
        <v>110701.0</v>
      </c>
      <c r="I517" s="2" t="s">
        <v>1145</v>
      </c>
    </row>
    <row r="518" ht="22.5" customHeight="1">
      <c r="A518" s="2">
        <v>517.0</v>
      </c>
      <c r="B518" s="2" t="s">
        <v>1147</v>
      </c>
      <c r="C518" s="2" t="s">
        <v>276</v>
      </c>
      <c r="D518" s="2">
        <v>2869.0</v>
      </c>
      <c r="E518" s="5">
        <v>46057.0</v>
      </c>
      <c r="F518" s="5">
        <v>46115.0</v>
      </c>
      <c r="G518" s="2" t="s">
        <v>1148</v>
      </c>
      <c r="H518" s="8">
        <v>2868768.0</v>
      </c>
      <c r="I518" s="8">
        <v>144304.0</v>
      </c>
    </row>
    <row r="519" ht="22.5" customHeight="1">
      <c r="A519" s="2">
        <v>518.0</v>
      </c>
      <c r="B519" s="2" t="s">
        <v>1147</v>
      </c>
      <c r="C519" s="2" t="s">
        <v>317</v>
      </c>
      <c r="D519" s="2">
        <v>1854.0</v>
      </c>
      <c r="E519" s="5">
        <v>46148.0</v>
      </c>
      <c r="F519" s="5">
        <v>46027.0</v>
      </c>
      <c r="G519" s="2">
        <v>12051.0</v>
      </c>
      <c r="H519" s="8">
        <v>2759499.0</v>
      </c>
      <c r="I519" s="8">
        <v>253997.0</v>
      </c>
    </row>
    <row r="520" ht="22.5" customHeight="1">
      <c r="A520" s="2">
        <v>519.0</v>
      </c>
      <c r="B520" s="2" t="s">
        <v>1149</v>
      </c>
      <c r="C520" s="2" t="s">
        <v>272</v>
      </c>
      <c r="D520" s="2">
        <v>2348.0</v>
      </c>
      <c r="E520" s="5">
        <v>46236.0</v>
      </c>
      <c r="F520" s="5">
        <v>46144.0</v>
      </c>
      <c r="G520" s="8">
        <v>1707236.0</v>
      </c>
      <c r="H520" s="7">
        <v>5870.0</v>
      </c>
      <c r="I520" s="2" t="s">
        <v>1150</v>
      </c>
    </row>
    <row r="521" ht="22.5" customHeight="1">
      <c r="A521" s="2">
        <v>520.0</v>
      </c>
      <c r="B521" s="2" t="s">
        <v>1149</v>
      </c>
      <c r="C521" s="2" t="s">
        <v>317</v>
      </c>
      <c r="D521" s="2">
        <v>1012.0</v>
      </c>
      <c r="E521" s="5">
        <v>46148.0</v>
      </c>
      <c r="F521" s="5">
        <v>46027.0</v>
      </c>
      <c r="G521" s="2">
        <v>6578.0</v>
      </c>
      <c r="H521" s="8">
        <v>1191089.0</v>
      </c>
      <c r="I521" s="8" t="s">
        <v>1151</v>
      </c>
    </row>
    <row r="522" ht="22.5" customHeight="1">
      <c r="A522" s="2">
        <v>521.0</v>
      </c>
      <c r="B522" s="2" t="s">
        <v>1152</v>
      </c>
      <c r="C522" s="2" t="s">
        <v>317</v>
      </c>
      <c r="D522" s="2">
        <v>1407.0</v>
      </c>
      <c r="E522" s="5">
        <v>46148.0</v>
      </c>
      <c r="F522" s="5">
        <v>46027.0</v>
      </c>
      <c r="G522" s="8">
        <v>2646304.0</v>
      </c>
      <c r="H522" s="8">
        <v>1926837.0</v>
      </c>
      <c r="I522" s="8">
        <v>25416.0</v>
      </c>
    </row>
    <row r="523" ht="22.5" customHeight="1">
      <c r="A523" s="2">
        <v>522.0</v>
      </c>
      <c r="B523" s="2" t="s">
        <v>1153</v>
      </c>
      <c r="C523" s="2" t="s">
        <v>317</v>
      </c>
      <c r="D523" s="2">
        <v>1070.0</v>
      </c>
      <c r="E523" s="5">
        <v>46148.0</v>
      </c>
      <c r="F523" s="5">
        <v>46027.0</v>
      </c>
      <c r="G523" s="2">
        <v>6955.0</v>
      </c>
      <c r="H523" s="7">
        <v>5457.0</v>
      </c>
      <c r="I523" s="2">
        <v>1498.0</v>
      </c>
    </row>
    <row r="524" ht="22.5" customHeight="1">
      <c r="A524" s="2">
        <v>523.0</v>
      </c>
      <c r="B524" s="2" t="s">
        <v>1153</v>
      </c>
      <c r="C524" s="2" t="s">
        <v>272</v>
      </c>
      <c r="D524" s="2">
        <v>2483.0</v>
      </c>
      <c r="E524" s="5">
        <v>46236.0</v>
      </c>
      <c r="F524" s="5">
        <v>46144.0</v>
      </c>
      <c r="G524" s="8">
        <v>1845298.0</v>
      </c>
      <c r="H524" s="8">
        <v>1573221.0</v>
      </c>
      <c r="I524" s="2" t="s">
        <v>1154</v>
      </c>
    </row>
    <row r="525" ht="22.5" customHeight="1">
      <c r="A525" s="2">
        <v>524.0</v>
      </c>
      <c r="B525" s="2" t="s">
        <v>1155</v>
      </c>
      <c r="C525" s="2" t="s">
        <v>311</v>
      </c>
      <c r="D525" s="2">
        <v>1907.0</v>
      </c>
      <c r="E525" s="5">
        <v>46057.0</v>
      </c>
      <c r="F525" s="5">
        <v>46084.0</v>
      </c>
      <c r="G525" s="8">
        <v>2231359.0</v>
      </c>
      <c r="H525" s="8">
        <v>1604513.0</v>
      </c>
      <c r="I525" s="8" t="s">
        <v>1156</v>
      </c>
    </row>
    <row r="526" ht="22.5" customHeight="1">
      <c r="A526" s="2">
        <v>525.0</v>
      </c>
      <c r="B526" s="2" t="s">
        <v>1155</v>
      </c>
      <c r="C526" s="2" t="s">
        <v>311</v>
      </c>
      <c r="D526" s="2">
        <v>1907.0</v>
      </c>
      <c r="E526" s="5">
        <v>46057.0</v>
      </c>
      <c r="F526" s="5">
        <v>46084.0</v>
      </c>
      <c r="G526" s="8">
        <v>2231359.0</v>
      </c>
      <c r="H526" s="8">
        <v>1604513.0</v>
      </c>
      <c r="I526" s="8" t="s">
        <v>1156</v>
      </c>
    </row>
    <row r="527" ht="22.5" customHeight="1">
      <c r="A527" s="2">
        <v>526.0</v>
      </c>
      <c r="B527" s="2" t="s">
        <v>1155</v>
      </c>
      <c r="C527" s="2" t="s">
        <v>311</v>
      </c>
      <c r="D527" s="2">
        <v>1907.0</v>
      </c>
      <c r="E527" s="5">
        <v>46057.0</v>
      </c>
      <c r="F527" s="5">
        <v>46084.0</v>
      </c>
      <c r="G527" s="8">
        <v>2231359.0</v>
      </c>
      <c r="H527" s="8">
        <v>1604513.0</v>
      </c>
      <c r="I527" s="8" t="s">
        <v>1156</v>
      </c>
    </row>
    <row r="528" ht="22.5" customHeight="1">
      <c r="A528" s="2">
        <v>527.0</v>
      </c>
      <c r="B528" s="2" t="s">
        <v>1157</v>
      </c>
      <c r="C528" s="2" t="s">
        <v>278</v>
      </c>
      <c r="D528" s="2">
        <v>7170.0</v>
      </c>
      <c r="E528" s="5">
        <v>46115.0</v>
      </c>
      <c r="F528" s="2" t="s">
        <v>279</v>
      </c>
      <c r="G528" s="2">
        <v>24378.0</v>
      </c>
      <c r="H528" s="2" t="s">
        <v>1158</v>
      </c>
      <c r="I528" s="8">
        <v>746312.0</v>
      </c>
    </row>
    <row r="529" ht="22.5" customHeight="1">
      <c r="A529" s="2">
        <v>528.0</v>
      </c>
      <c r="B529" s="2" t="s">
        <v>1159</v>
      </c>
      <c r="C529" s="2" t="s">
        <v>317</v>
      </c>
      <c r="D529" s="2">
        <v>1482.0</v>
      </c>
      <c r="E529" s="5">
        <v>46148.0</v>
      </c>
      <c r="F529" s="5">
        <v>46027.0</v>
      </c>
      <c r="G529" s="2">
        <v>9633.0</v>
      </c>
      <c r="H529" s="8">
        <v>2066575.0</v>
      </c>
      <c r="I529" s="8">
        <v>63767.0</v>
      </c>
    </row>
    <row r="530" ht="22.5" customHeight="1">
      <c r="A530" s="2">
        <v>529.0</v>
      </c>
      <c r="B530" s="2" t="s">
        <v>1160</v>
      </c>
      <c r="C530" s="2" t="s">
        <v>291</v>
      </c>
      <c r="D530" s="2">
        <v>1813.0</v>
      </c>
      <c r="E530" s="5">
        <v>46240.0</v>
      </c>
      <c r="F530" s="5">
        <v>46027.0</v>
      </c>
      <c r="G530" s="2" t="s">
        <v>1161</v>
      </c>
      <c r="H530" s="8">
        <v>2683133.0</v>
      </c>
      <c r="I530" s="8">
        <v>431719.0</v>
      </c>
    </row>
    <row r="531" ht="22.5" customHeight="1">
      <c r="A531" s="2">
        <v>530.0</v>
      </c>
      <c r="B531" s="2" t="s">
        <v>1160</v>
      </c>
      <c r="C531" s="2" t="s">
        <v>311</v>
      </c>
      <c r="D531" s="2">
        <v>2936.0</v>
      </c>
      <c r="E531" s="5">
        <v>46057.0</v>
      </c>
      <c r="F531" s="5">
        <v>46084.0</v>
      </c>
      <c r="G531" s="2" t="s">
        <v>1162</v>
      </c>
      <c r="H531" s="8">
        <v>2844724.0</v>
      </c>
      <c r="I531" s="8">
        <v>271102.0</v>
      </c>
    </row>
    <row r="532" ht="22.5" customHeight="1">
      <c r="A532" s="2">
        <v>531.0</v>
      </c>
      <c r="B532" s="2" t="s">
        <v>1160</v>
      </c>
      <c r="C532" s="2" t="s">
        <v>291</v>
      </c>
      <c r="D532" s="2">
        <v>1813.0</v>
      </c>
      <c r="E532" s="5">
        <v>46240.0</v>
      </c>
      <c r="F532" s="5">
        <v>46027.0</v>
      </c>
      <c r="G532" s="2" t="s">
        <v>1161</v>
      </c>
      <c r="H532" s="8">
        <v>2683133.0</v>
      </c>
      <c r="I532" s="8">
        <v>431719.0</v>
      </c>
    </row>
    <row r="533" ht="22.5" customHeight="1">
      <c r="A533" s="2">
        <v>532.0</v>
      </c>
      <c r="B533" s="2" t="s">
        <v>1163</v>
      </c>
      <c r="C533" s="2" t="s">
        <v>272</v>
      </c>
      <c r="D533" s="2">
        <v>12005.0</v>
      </c>
      <c r="E533" s="5">
        <v>46236.0</v>
      </c>
      <c r="F533" s="5">
        <v>46144.0</v>
      </c>
      <c r="G533" s="2">
        <v>33614.0</v>
      </c>
      <c r="H533" s="2" t="s">
        <v>1164</v>
      </c>
      <c r="I533" s="8">
        <v>621400.0</v>
      </c>
    </row>
    <row r="534" ht="22.5" customHeight="1">
      <c r="A534" s="2">
        <v>533.0</v>
      </c>
      <c r="B534" s="2" t="s">
        <v>1163</v>
      </c>
      <c r="C534" s="2" t="s">
        <v>272</v>
      </c>
      <c r="D534" s="2">
        <v>12005.0</v>
      </c>
      <c r="E534" s="5">
        <v>46236.0</v>
      </c>
      <c r="F534" s="5">
        <v>46144.0</v>
      </c>
      <c r="G534" s="2">
        <v>33614.0</v>
      </c>
      <c r="H534" s="2" t="s">
        <v>1164</v>
      </c>
      <c r="I534" s="8">
        <v>621400.0</v>
      </c>
    </row>
    <row r="535" ht="22.5" customHeight="1">
      <c r="A535" s="2">
        <v>534.0</v>
      </c>
      <c r="B535" s="2" t="s">
        <v>1165</v>
      </c>
      <c r="C535" s="2" t="s">
        <v>272</v>
      </c>
      <c r="D535" s="2">
        <v>2764.0</v>
      </c>
      <c r="E535" s="5">
        <v>46236.0</v>
      </c>
      <c r="F535" s="5">
        <v>46144.0</v>
      </c>
      <c r="G535" s="8">
        <v>2132684.0</v>
      </c>
      <c r="H535" s="7">
        <v>6910.0</v>
      </c>
      <c r="I535" s="2" t="s">
        <v>1166</v>
      </c>
    </row>
    <row r="536" ht="22.5" customHeight="1">
      <c r="A536" s="2">
        <v>535.0</v>
      </c>
      <c r="B536" s="2" t="s">
        <v>1165</v>
      </c>
      <c r="C536" s="2" t="s">
        <v>272</v>
      </c>
      <c r="D536" s="2">
        <v>2764.0</v>
      </c>
      <c r="E536" s="5">
        <v>46236.0</v>
      </c>
      <c r="F536" s="5">
        <v>46144.0</v>
      </c>
      <c r="G536" s="8">
        <v>2132684.0</v>
      </c>
      <c r="H536" s="7">
        <v>6910.0</v>
      </c>
      <c r="I536" s="2" t="s">
        <v>1166</v>
      </c>
    </row>
    <row r="537" ht="22.5" customHeight="1">
      <c r="A537" s="2">
        <v>536.0</v>
      </c>
      <c r="B537" s="2" t="s">
        <v>1167</v>
      </c>
      <c r="C537" s="2" t="s">
        <v>291</v>
      </c>
      <c r="D537" s="2">
        <v>1521.0</v>
      </c>
      <c r="E537" s="5">
        <v>46240.0</v>
      </c>
      <c r="F537" s="5">
        <v>46027.0</v>
      </c>
      <c r="G537" s="2" t="s">
        <v>1168</v>
      </c>
      <c r="H537" s="8">
        <v>2139228.0</v>
      </c>
      <c r="I537" s="8">
        <v>250375.0</v>
      </c>
    </row>
    <row r="538" ht="22.5" customHeight="1">
      <c r="A538" s="2">
        <v>537.0</v>
      </c>
      <c r="B538" s="2" t="s">
        <v>1169</v>
      </c>
      <c r="C538" s="2" t="s">
        <v>276</v>
      </c>
      <c r="D538" s="2">
        <v>2157.0</v>
      </c>
      <c r="E538" s="5">
        <v>46057.0</v>
      </c>
      <c r="F538" s="5">
        <v>46115.0</v>
      </c>
      <c r="G538" s="8">
        <v>2614863.0</v>
      </c>
      <c r="H538" s="8">
        <v>1984577.0</v>
      </c>
      <c r="I538" s="8" t="s">
        <v>1170</v>
      </c>
    </row>
    <row r="539" ht="22.5" customHeight="1">
      <c r="A539" s="2">
        <v>538.0</v>
      </c>
      <c r="B539" s="2" t="s">
        <v>1169</v>
      </c>
      <c r="C539" s="2" t="s">
        <v>317</v>
      </c>
      <c r="D539" s="2">
        <v>1394.0</v>
      </c>
      <c r="E539" s="5">
        <v>46148.0</v>
      </c>
      <c r="F539" s="5">
        <v>46027.0</v>
      </c>
      <c r="G539" s="2">
        <v>9061.0</v>
      </c>
      <c r="H539" s="8">
        <v>1902640.0</v>
      </c>
      <c r="I539" s="8">
        <v>18780.0</v>
      </c>
    </row>
    <row r="540" ht="22.5" customHeight="1">
      <c r="A540" s="2">
        <v>539.0</v>
      </c>
      <c r="B540" s="2" t="s">
        <v>1171</v>
      </c>
      <c r="C540" s="2" t="s">
        <v>311</v>
      </c>
      <c r="D540" s="2">
        <v>707.0</v>
      </c>
      <c r="E540" s="5">
        <v>46057.0</v>
      </c>
      <c r="F540" s="5">
        <v>46084.0</v>
      </c>
      <c r="G540" s="8">
        <v>390537.0</v>
      </c>
      <c r="H540" s="8">
        <v>158152.0</v>
      </c>
      <c r="I540" s="2" t="s">
        <v>1172</v>
      </c>
    </row>
    <row r="541" ht="22.5" customHeight="1">
      <c r="A541" s="2">
        <v>540.0</v>
      </c>
      <c r="B541" s="2" t="s">
        <v>1171</v>
      </c>
      <c r="C541" s="2" t="s">
        <v>287</v>
      </c>
      <c r="D541" s="2">
        <v>283.0</v>
      </c>
      <c r="E541" s="5">
        <v>46152.0</v>
      </c>
      <c r="F541" s="5">
        <v>46241.0</v>
      </c>
      <c r="G541" s="8">
        <v>391297.0</v>
      </c>
      <c r="H541" s="8">
        <v>112221.0</v>
      </c>
      <c r="I541" s="2" t="s">
        <v>1173</v>
      </c>
    </row>
    <row r="542" ht="22.5" customHeight="1">
      <c r="A542" s="2">
        <v>541.0</v>
      </c>
      <c r="B542" s="2" t="s">
        <v>1171</v>
      </c>
      <c r="C542" s="2" t="s">
        <v>311</v>
      </c>
      <c r="D542" s="2">
        <v>707.0</v>
      </c>
      <c r="E542" s="5">
        <v>46057.0</v>
      </c>
      <c r="F542" s="5">
        <v>46084.0</v>
      </c>
      <c r="G542" s="8">
        <v>390537.0</v>
      </c>
      <c r="H542" s="8">
        <v>158152.0</v>
      </c>
      <c r="I542" s="2" t="s">
        <v>1172</v>
      </c>
    </row>
    <row r="543" ht="22.5" customHeight="1">
      <c r="A543" s="2">
        <v>542.0</v>
      </c>
      <c r="B543" s="2" t="s">
        <v>1174</v>
      </c>
      <c r="C543" s="2" t="s">
        <v>317</v>
      </c>
      <c r="D543" s="2">
        <v>956.0</v>
      </c>
      <c r="E543" s="5">
        <v>46148.0</v>
      </c>
      <c r="F543" s="5">
        <v>46027.0</v>
      </c>
      <c r="G543" s="2">
        <v>6214.0</v>
      </c>
      <c r="H543" s="8">
        <v>1086750.0</v>
      </c>
      <c r="I543" s="8" t="s">
        <v>1175</v>
      </c>
    </row>
    <row r="544" ht="22.5" customHeight="1">
      <c r="A544" s="2">
        <v>543.0</v>
      </c>
      <c r="B544" s="2" t="s">
        <v>1174</v>
      </c>
      <c r="C544" s="2" t="s">
        <v>317</v>
      </c>
      <c r="D544" s="2">
        <v>956.0</v>
      </c>
      <c r="E544" s="5">
        <v>46148.0</v>
      </c>
      <c r="F544" s="5">
        <v>46027.0</v>
      </c>
      <c r="G544" s="2">
        <v>6214.0</v>
      </c>
      <c r="H544" s="8">
        <v>1086750.0</v>
      </c>
      <c r="I544" s="8" t="s">
        <v>1175</v>
      </c>
    </row>
    <row r="545" ht="22.5" customHeight="1">
      <c r="A545" s="2">
        <v>544.0</v>
      </c>
      <c r="B545" s="2" t="s">
        <v>1174</v>
      </c>
      <c r="C545" s="2" t="s">
        <v>272</v>
      </c>
      <c r="D545" s="2">
        <v>2219.0</v>
      </c>
      <c r="E545" s="5">
        <v>46236.0</v>
      </c>
      <c r="F545" s="5">
        <v>46144.0</v>
      </c>
      <c r="G545" s="8">
        <v>1575324.0</v>
      </c>
      <c r="H545" s="8">
        <v>1332161.0</v>
      </c>
      <c r="I545" s="2" t="s">
        <v>1176</v>
      </c>
    </row>
    <row r="546" ht="22.5" customHeight="1">
      <c r="A546" s="2">
        <v>545.0</v>
      </c>
      <c r="B546" s="2" t="s">
        <v>1177</v>
      </c>
      <c r="C546" s="2" t="s">
        <v>278</v>
      </c>
      <c r="D546" s="2">
        <v>10047.0</v>
      </c>
      <c r="E546" s="5">
        <v>46115.0</v>
      </c>
      <c r="F546" s="2" t="s">
        <v>279</v>
      </c>
      <c r="G546" s="2" t="s">
        <v>1178</v>
      </c>
      <c r="H546" s="2" t="s">
        <v>1179</v>
      </c>
      <c r="I546" s="2" t="s">
        <v>1180</v>
      </c>
    </row>
    <row r="547" ht="22.5" customHeight="1">
      <c r="A547" s="2">
        <v>546.0</v>
      </c>
      <c r="B547" s="2" t="s">
        <v>1177</v>
      </c>
      <c r="C547" s="2" t="s">
        <v>278</v>
      </c>
      <c r="D547" s="2">
        <v>10047.0</v>
      </c>
      <c r="E547" s="5">
        <v>46115.0</v>
      </c>
      <c r="F547" s="2" t="s">
        <v>279</v>
      </c>
      <c r="G547" s="2" t="s">
        <v>1178</v>
      </c>
      <c r="H547" s="2" t="s">
        <v>1179</v>
      </c>
      <c r="I547" s="2" t="s">
        <v>1180</v>
      </c>
    </row>
    <row r="548" ht="22.5" customHeight="1">
      <c r="A548" s="2">
        <v>547.0</v>
      </c>
      <c r="B548" s="2" t="s">
        <v>1181</v>
      </c>
      <c r="C548" s="2" t="s">
        <v>272</v>
      </c>
      <c r="D548" s="2">
        <v>1866.0</v>
      </c>
      <c r="E548" s="5">
        <v>46236.0</v>
      </c>
      <c r="F548" s="5">
        <v>46144.0</v>
      </c>
      <c r="G548" s="8">
        <v>1214281.0</v>
      </c>
      <c r="H548" s="7">
        <v>4665.0</v>
      </c>
      <c r="I548" s="2" t="s">
        <v>1182</v>
      </c>
    </row>
    <row r="549" ht="22.5" customHeight="1">
      <c r="A549" s="2">
        <v>548.0</v>
      </c>
      <c r="B549" s="2" t="s">
        <v>1181</v>
      </c>
      <c r="C549" s="2" t="s">
        <v>317</v>
      </c>
      <c r="D549" s="2">
        <v>804.0</v>
      </c>
      <c r="E549" s="5">
        <v>46148.0</v>
      </c>
      <c r="F549" s="5">
        <v>46027.0</v>
      </c>
      <c r="G549" s="2">
        <v>5226.0</v>
      </c>
      <c r="H549" s="8">
        <v>803626.0</v>
      </c>
      <c r="I549" s="8" t="s">
        <v>1183</v>
      </c>
    </row>
    <row r="550" ht="22.5" customHeight="1">
      <c r="A550" s="2">
        <v>549.0</v>
      </c>
      <c r="B550" s="2" t="s">
        <v>1181</v>
      </c>
      <c r="C550" s="2" t="s">
        <v>317</v>
      </c>
      <c r="D550" s="2">
        <v>804.0</v>
      </c>
      <c r="E550" s="5">
        <v>46148.0</v>
      </c>
      <c r="F550" s="5">
        <v>46027.0</v>
      </c>
      <c r="G550" s="2">
        <v>5226.0</v>
      </c>
      <c r="H550" s="8">
        <v>803626.0</v>
      </c>
      <c r="I550" s="8" t="s">
        <v>1183</v>
      </c>
    </row>
    <row r="551" ht="22.5" customHeight="1">
      <c r="A551" s="2">
        <v>550.0</v>
      </c>
      <c r="B551" s="2" t="s">
        <v>1184</v>
      </c>
      <c r="C551" s="2" t="s">
        <v>317</v>
      </c>
      <c r="D551" s="2">
        <v>5113.0</v>
      </c>
      <c r="E551" s="5">
        <v>46148.0</v>
      </c>
      <c r="F551" s="5">
        <v>46027.0</v>
      </c>
      <c r="G551" s="2" t="s">
        <v>1185</v>
      </c>
      <c r="H551" s="2" t="s">
        <v>1186</v>
      </c>
      <c r="I551" s="8">
        <v>1920478.0</v>
      </c>
    </row>
    <row r="552" ht="22.5" customHeight="1">
      <c r="A552" s="2">
        <v>551.0</v>
      </c>
      <c r="B552" s="2" t="s">
        <v>1187</v>
      </c>
      <c r="C552" s="2" t="s">
        <v>276</v>
      </c>
      <c r="D552" s="2">
        <v>763.0</v>
      </c>
      <c r="E552" s="5">
        <v>46057.0</v>
      </c>
      <c r="F552" s="5">
        <v>46115.0</v>
      </c>
      <c r="G552" s="8">
        <v>476430.0</v>
      </c>
      <c r="H552" s="8">
        <v>253512.0</v>
      </c>
      <c r="I552" s="2" t="s">
        <v>1188</v>
      </c>
    </row>
    <row r="553" ht="22.5" customHeight="1">
      <c r="A553" s="2">
        <v>552.0</v>
      </c>
      <c r="B553" s="2" t="s">
        <v>1187</v>
      </c>
      <c r="C553" s="2" t="s">
        <v>272</v>
      </c>
      <c r="D553" s="2">
        <v>1144.0</v>
      </c>
      <c r="E553" s="5">
        <v>46236.0</v>
      </c>
      <c r="F553" s="5">
        <v>46144.0</v>
      </c>
      <c r="G553" s="8">
        <v>475944.0</v>
      </c>
      <c r="H553" s="7">
        <v>2860.0</v>
      </c>
      <c r="I553" s="2" t="s">
        <v>1189</v>
      </c>
    </row>
    <row r="554" ht="22.5" customHeight="1">
      <c r="A554" s="2">
        <v>553.0</v>
      </c>
      <c r="B554" s="2" t="s">
        <v>1187</v>
      </c>
      <c r="C554" s="2" t="s">
        <v>317</v>
      </c>
      <c r="D554" s="2">
        <v>493.0</v>
      </c>
      <c r="E554" s="5">
        <v>46148.0</v>
      </c>
      <c r="F554" s="5">
        <v>46027.0</v>
      </c>
      <c r="G554" s="8">
        <v>476399.0</v>
      </c>
      <c r="H554" s="8">
        <v>224320.0</v>
      </c>
      <c r="I554" s="2" t="s">
        <v>1190</v>
      </c>
    </row>
    <row r="555" ht="22.5" customHeight="1">
      <c r="A555" s="2">
        <v>554.0</v>
      </c>
      <c r="B555" s="2" t="s">
        <v>1191</v>
      </c>
      <c r="C555" s="2" t="s">
        <v>276</v>
      </c>
      <c r="D555" s="2">
        <v>3873.0</v>
      </c>
      <c r="E555" s="5">
        <v>46057.0</v>
      </c>
      <c r="F555" s="5">
        <v>46115.0</v>
      </c>
      <c r="G555" s="2" t="s">
        <v>1192</v>
      </c>
      <c r="H555" s="2" t="s">
        <v>1193</v>
      </c>
      <c r="I555" s="8">
        <v>437653.0</v>
      </c>
    </row>
    <row r="556" ht="22.5" customHeight="1">
      <c r="A556" s="2">
        <v>555.0</v>
      </c>
      <c r="B556" s="2" t="s">
        <v>1191</v>
      </c>
      <c r="C556" s="2" t="s">
        <v>276</v>
      </c>
      <c r="D556" s="2">
        <v>3874.0</v>
      </c>
      <c r="E556" s="5">
        <v>46057.0</v>
      </c>
      <c r="F556" s="5">
        <v>46115.0</v>
      </c>
      <c r="G556" s="2" t="s">
        <v>1194</v>
      </c>
      <c r="H556" s="2" t="s">
        <v>1195</v>
      </c>
      <c r="I556" s="8">
        <v>437959.0</v>
      </c>
    </row>
    <row r="557" ht="22.5" customHeight="1">
      <c r="A557" s="2">
        <v>556.0</v>
      </c>
      <c r="B557" s="2" t="s">
        <v>1191</v>
      </c>
      <c r="C557" s="2" t="s">
        <v>272</v>
      </c>
      <c r="D557" s="2">
        <v>5810.0</v>
      </c>
      <c r="E557" s="5">
        <v>46236.0</v>
      </c>
      <c r="F557" s="5">
        <v>46144.0</v>
      </c>
      <c r="G557" s="2">
        <v>16268.0</v>
      </c>
      <c r="H557" s="7">
        <v>14525.0</v>
      </c>
      <c r="I557" s="2">
        <v>1743.0</v>
      </c>
    </row>
    <row r="558" ht="22.5" customHeight="1">
      <c r="A558" s="2">
        <v>557.0</v>
      </c>
      <c r="B558" s="2" t="s">
        <v>1196</v>
      </c>
      <c r="C558" s="2" t="s">
        <v>276</v>
      </c>
      <c r="D558" s="2">
        <v>62004.0</v>
      </c>
      <c r="E558" s="5">
        <v>46057.0</v>
      </c>
      <c r="F558" s="5">
        <v>46115.0</v>
      </c>
      <c r="G558" s="2" t="s">
        <v>1197</v>
      </c>
      <c r="H558" s="2" t="s">
        <v>1198</v>
      </c>
      <c r="I558" s="2" t="s">
        <v>1199</v>
      </c>
    </row>
    <row r="559" ht="22.5" customHeight="1">
      <c r="A559" s="2">
        <v>558.0</v>
      </c>
      <c r="B559" s="2" t="s">
        <v>1200</v>
      </c>
      <c r="C559" s="2" t="s">
        <v>317</v>
      </c>
      <c r="D559" s="2">
        <v>969.0</v>
      </c>
      <c r="E559" s="5">
        <v>46148.0</v>
      </c>
      <c r="F559" s="5">
        <v>46027.0</v>
      </c>
      <c r="G559" s="8">
        <v>1606459.0</v>
      </c>
      <c r="H559" s="8">
        <v>1110948.0</v>
      </c>
      <c r="I559" s="8" t="s">
        <v>1201</v>
      </c>
    </row>
    <row r="560" ht="22.5" customHeight="1">
      <c r="A560" s="2">
        <v>559.0</v>
      </c>
      <c r="B560" s="2" t="s">
        <v>1200</v>
      </c>
      <c r="C560" s="2" t="s">
        <v>272</v>
      </c>
      <c r="D560" s="2">
        <v>2249.0</v>
      </c>
      <c r="E560" s="5">
        <v>46236.0</v>
      </c>
      <c r="F560" s="5">
        <v>46144.0</v>
      </c>
      <c r="G560" s="8">
        <v>1606005.0</v>
      </c>
      <c r="H560" s="8">
        <v>1359555.0</v>
      </c>
      <c r="I560" s="2" t="s">
        <v>1202</v>
      </c>
    </row>
    <row r="561" ht="22.5" customHeight="1">
      <c r="A561" s="2">
        <v>560.0</v>
      </c>
      <c r="B561" s="2" t="s">
        <v>1200</v>
      </c>
      <c r="C561" s="2" t="s">
        <v>317</v>
      </c>
      <c r="D561" s="2">
        <v>969.0</v>
      </c>
      <c r="E561" s="5">
        <v>46148.0</v>
      </c>
      <c r="F561" s="5">
        <v>46027.0</v>
      </c>
      <c r="G561" s="8">
        <v>1606459.0</v>
      </c>
      <c r="H561" s="8">
        <v>1110948.0</v>
      </c>
      <c r="I561" s="8" t="s">
        <v>1201</v>
      </c>
    </row>
    <row r="562" ht="22.5" customHeight="1">
      <c r="A562" s="2">
        <v>561.0</v>
      </c>
      <c r="B562" s="2" t="s">
        <v>1203</v>
      </c>
      <c r="C562" s="2" t="s">
        <v>272</v>
      </c>
      <c r="D562" s="2">
        <v>1139.0</v>
      </c>
      <c r="E562" s="5">
        <v>46236.0</v>
      </c>
      <c r="F562" s="5">
        <v>46144.0</v>
      </c>
      <c r="G562" s="8">
        <v>470831.0</v>
      </c>
      <c r="H562" s="8">
        <v>346007.0</v>
      </c>
      <c r="I562" s="2" t="s">
        <v>1204</v>
      </c>
    </row>
    <row r="563" ht="22.5" customHeight="1">
      <c r="A563" s="2">
        <v>562.0</v>
      </c>
      <c r="B563" s="2" t="s">
        <v>1203</v>
      </c>
      <c r="C563" s="2" t="s">
        <v>276</v>
      </c>
      <c r="D563" s="2">
        <v>759.0</v>
      </c>
      <c r="E563" s="5">
        <v>46057.0</v>
      </c>
      <c r="F563" s="5">
        <v>46115.0</v>
      </c>
      <c r="G563" s="8">
        <v>470281.0</v>
      </c>
      <c r="H563" s="8">
        <v>248519.0</v>
      </c>
      <c r="I563" s="2" t="s">
        <v>1205</v>
      </c>
    </row>
    <row r="564" ht="22.5" customHeight="1">
      <c r="A564" s="2">
        <v>563.0</v>
      </c>
      <c r="B564" s="2" t="s">
        <v>1206</v>
      </c>
      <c r="C564" s="2" t="s">
        <v>317</v>
      </c>
      <c r="D564" s="2">
        <v>252.0</v>
      </c>
      <c r="E564" s="5">
        <v>46148.0</v>
      </c>
      <c r="F564" s="5">
        <v>46027.0</v>
      </c>
      <c r="G564" s="2">
        <v>1638.0</v>
      </c>
      <c r="H564" s="8" t="s">
        <v>1207</v>
      </c>
      <c r="I564" s="2" t="s">
        <v>1208</v>
      </c>
    </row>
    <row r="565" ht="22.5" customHeight="1">
      <c r="A565" s="2">
        <v>564.0</v>
      </c>
      <c r="B565" s="2" t="s">
        <v>1206</v>
      </c>
      <c r="C565" s="2" t="s">
        <v>272</v>
      </c>
      <c r="D565" s="2">
        <v>585.0</v>
      </c>
      <c r="E565" s="5">
        <v>46236.0</v>
      </c>
      <c r="F565" s="5">
        <v>46144.0</v>
      </c>
      <c r="G565" s="2">
        <v>1638.0</v>
      </c>
      <c r="H565" s="8" t="s">
        <v>1209</v>
      </c>
      <c r="I565" s="2" t="s">
        <v>1210</v>
      </c>
    </row>
    <row r="566" ht="22.5" customHeight="1">
      <c r="A566" s="2">
        <v>565.0</v>
      </c>
      <c r="B566" s="2" t="s">
        <v>1206</v>
      </c>
      <c r="C566" s="2" t="s">
        <v>272</v>
      </c>
      <c r="D566" s="2">
        <v>585.0</v>
      </c>
      <c r="E566" s="5">
        <v>46236.0</v>
      </c>
      <c r="F566" s="5">
        <v>46144.0</v>
      </c>
      <c r="G566" s="2">
        <v>1638.0</v>
      </c>
      <c r="H566" s="8" t="s">
        <v>1209</v>
      </c>
      <c r="I566" s="2" t="s">
        <v>1210</v>
      </c>
    </row>
    <row r="567" ht="22.5" customHeight="1">
      <c r="A567" s="2">
        <v>566.0</v>
      </c>
      <c r="B567" s="2" t="s">
        <v>1211</v>
      </c>
      <c r="C567" s="2" t="s">
        <v>291</v>
      </c>
      <c r="D567" s="2">
        <v>6167.0</v>
      </c>
      <c r="E567" s="5">
        <v>46240.0</v>
      </c>
      <c r="F567" s="5">
        <v>46027.0</v>
      </c>
      <c r="G567" s="2" t="s">
        <v>1212</v>
      </c>
      <c r="H567" s="2" t="s">
        <v>1213</v>
      </c>
      <c r="I567" s="2" t="s">
        <v>1214</v>
      </c>
    </row>
    <row r="568" ht="22.5" customHeight="1">
      <c r="A568" s="2">
        <v>567.0</v>
      </c>
      <c r="B568" s="2" t="s">
        <v>1211</v>
      </c>
      <c r="C568" s="2" t="s">
        <v>311</v>
      </c>
      <c r="D568" s="2">
        <v>9983.0</v>
      </c>
      <c r="E568" s="5">
        <v>46057.0</v>
      </c>
      <c r="F568" s="5">
        <v>46084.0</v>
      </c>
      <c r="G568" s="2" t="s">
        <v>1215</v>
      </c>
      <c r="H568" s="2" t="s">
        <v>1216</v>
      </c>
      <c r="I568" s="8">
        <v>2587562.0</v>
      </c>
    </row>
    <row r="569" ht="22.5" customHeight="1">
      <c r="A569" s="2">
        <v>568.0</v>
      </c>
      <c r="B569" s="2" t="s">
        <v>1217</v>
      </c>
      <c r="C569" s="2" t="s">
        <v>317</v>
      </c>
      <c r="D569" s="2">
        <v>546.0</v>
      </c>
      <c r="E569" s="5">
        <v>46148.0</v>
      </c>
      <c r="F569" s="5">
        <v>46027.0</v>
      </c>
      <c r="G569" s="2">
        <v>3549.0</v>
      </c>
      <c r="H569" s="8">
        <v>323028.0</v>
      </c>
      <c r="I569" s="2" t="s">
        <v>1218</v>
      </c>
    </row>
    <row r="570" ht="22.5" customHeight="1">
      <c r="A570" s="2">
        <v>569.0</v>
      </c>
      <c r="B570" s="2" t="s">
        <v>1217</v>
      </c>
      <c r="C570" s="2" t="s">
        <v>276</v>
      </c>
      <c r="D570" s="2">
        <v>846.0</v>
      </c>
      <c r="E570" s="5">
        <v>46057.0</v>
      </c>
      <c r="F570" s="5">
        <v>46115.0</v>
      </c>
      <c r="G570" s="8">
        <v>603779.0</v>
      </c>
      <c r="H570" s="8">
        <v>356570.0</v>
      </c>
      <c r="I570" s="2" t="s">
        <v>1219</v>
      </c>
    </row>
    <row r="571" ht="22.5" customHeight="1">
      <c r="A571" s="2">
        <v>570.0</v>
      </c>
      <c r="B571" s="2" t="s">
        <v>1220</v>
      </c>
      <c r="C571" s="2" t="s">
        <v>287</v>
      </c>
      <c r="D571" s="2">
        <v>576.0</v>
      </c>
      <c r="E571" s="5">
        <v>46152.0</v>
      </c>
      <c r="F571" s="5">
        <v>46241.0</v>
      </c>
      <c r="G571" s="2">
        <v>6048.0</v>
      </c>
      <c r="H571" s="8">
        <v>946924.0</v>
      </c>
      <c r="I571" s="8" t="s">
        <v>1221</v>
      </c>
    </row>
    <row r="572" ht="22.5" customHeight="1">
      <c r="A572" s="2">
        <v>571.0</v>
      </c>
      <c r="B572" s="2" t="s">
        <v>1222</v>
      </c>
      <c r="C572" s="2" t="s">
        <v>276</v>
      </c>
      <c r="D572" s="2">
        <v>2385.0</v>
      </c>
      <c r="E572" s="5">
        <v>46057.0</v>
      </c>
      <c r="F572" s="5">
        <v>46115.0</v>
      </c>
      <c r="G572" s="2">
        <v>10017.0</v>
      </c>
      <c r="H572" s="7">
        <v>8109.0</v>
      </c>
      <c r="I572" s="2">
        <v>1908.0</v>
      </c>
    </row>
    <row r="573" ht="22.5" customHeight="1">
      <c r="A573" s="2">
        <v>572.0</v>
      </c>
      <c r="B573" s="2" t="s">
        <v>1222</v>
      </c>
      <c r="C573" s="2" t="s">
        <v>272</v>
      </c>
      <c r="D573" s="2">
        <v>3578.0</v>
      </c>
      <c r="E573" s="5">
        <v>46236.0</v>
      </c>
      <c r="F573" s="5">
        <v>46144.0</v>
      </c>
      <c r="G573" s="2" t="s">
        <v>1223</v>
      </c>
      <c r="H573" s="7">
        <v>8945.0</v>
      </c>
      <c r="I573" s="8" t="s">
        <v>1224</v>
      </c>
    </row>
    <row r="574" ht="22.5" customHeight="1">
      <c r="A574" s="2">
        <v>573.0</v>
      </c>
      <c r="B574" s="2" t="s">
        <v>1225</v>
      </c>
      <c r="C574" s="2" t="s">
        <v>278</v>
      </c>
      <c r="D574" s="2">
        <v>1278.0</v>
      </c>
      <c r="E574" s="5">
        <v>46115.0</v>
      </c>
      <c r="F574" s="2" t="s">
        <v>279</v>
      </c>
      <c r="G574" s="8">
        <v>893051.0</v>
      </c>
      <c r="H574" s="8">
        <v>636314.0</v>
      </c>
      <c r="I574" s="2" t="s">
        <v>1226</v>
      </c>
    </row>
    <row r="575" ht="22.5" customHeight="1">
      <c r="A575" s="2">
        <v>574.0</v>
      </c>
      <c r="B575" s="2" t="s">
        <v>1225</v>
      </c>
      <c r="C575" s="2" t="s">
        <v>269</v>
      </c>
      <c r="D575" s="2">
        <v>836.0</v>
      </c>
      <c r="E575" s="5">
        <v>46058.0</v>
      </c>
      <c r="F575" s="6">
        <v>46146.0</v>
      </c>
      <c r="G575" s="8">
        <v>893781.0</v>
      </c>
      <c r="H575" s="8">
        <v>542600.0</v>
      </c>
      <c r="I575" s="2" t="s">
        <v>1227</v>
      </c>
    </row>
    <row r="576" ht="22.5" customHeight="1">
      <c r="A576" s="2">
        <v>575.0</v>
      </c>
      <c r="B576" s="2" t="s">
        <v>1228</v>
      </c>
      <c r="C576" s="2" t="s">
        <v>317</v>
      </c>
      <c r="D576" s="2">
        <v>775.0</v>
      </c>
      <c r="E576" s="5">
        <v>46148.0</v>
      </c>
      <c r="F576" s="5">
        <v>46027.0</v>
      </c>
      <c r="G576" s="8">
        <v>1145888.0</v>
      </c>
      <c r="H576" s="8">
        <v>749600.0</v>
      </c>
      <c r="I576" s="2">
        <v>1085.0</v>
      </c>
    </row>
    <row r="577" ht="22.5" customHeight="1">
      <c r="A577" s="2">
        <v>576.0</v>
      </c>
      <c r="B577" s="2" t="s">
        <v>1228</v>
      </c>
      <c r="C577" s="2" t="s">
        <v>276</v>
      </c>
      <c r="D577" s="2">
        <v>1199.0</v>
      </c>
      <c r="E577" s="5">
        <v>46057.0</v>
      </c>
      <c r="F577" s="5">
        <v>46115.0</v>
      </c>
      <c r="G577" s="8">
        <v>1145249.0</v>
      </c>
      <c r="H577" s="8">
        <v>794922.0</v>
      </c>
      <c r="I577" s="2" t="s">
        <v>1229</v>
      </c>
    </row>
    <row r="578" ht="22.5" customHeight="1">
      <c r="A578" s="2">
        <v>577.0</v>
      </c>
      <c r="B578" s="2" t="s">
        <v>1230</v>
      </c>
      <c r="C578" s="2" t="s">
        <v>278</v>
      </c>
      <c r="D578" s="2">
        <v>4299.0</v>
      </c>
      <c r="E578" s="5">
        <v>46115.0</v>
      </c>
      <c r="F578" s="2" t="s">
        <v>279</v>
      </c>
      <c r="G578" s="2" t="s">
        <v>1231</v>
      </c>
      <c r="H578" s="2" t="s">
        <v>1232</v>
      </c>
      <c r="I578" s="2" t="s">
        <v>1233</v>
      </c>
    </row>
    <row r="579" ht="22.5" customHeight="1">
      <c r="A579" s="2">
        <v>578.0</v>
      </c>
      <c r="B579" s="2" t="s">
        <v>1234</v>
      </c>
      <c r="C579" s="2" t="s">
        <v>278</v>
      </c>
      <c r="D579" s="2">
        <v>472.0</v>
      </c>
      <c r="E579" s="5">
        <v>46115.0</v>
      </c>
      <c r="F579" s="2" t="s">
        <v>279</v>
      </c>
      <c r="G579" s="8" t="s">
        <v>1235</v>
      </c>
      <c r="H579" s="8" t="s">
        <v>1236</v>
      </c>
      <c r="I579" s="2" t="s">
        <v>1237</v>
      </c>
    </row>
    <row r="580" ht="22.5" customHeight="1">
      <c r="A580" s="2">
        <v>579.0</v>
      </c>
      <c r="B580" s="2" t="s">
        <v>1234</v>
      </c>
      <c r="C580" s="2" t="s">
        <v>270</v>
      </c>
      <c r="D580" s="2">
        <v>196.0</v>
      </c>
      <c r="E580" s="5">
        <v>46061.0</v>
      </c>
      <c r="F580" s="5">
        <v>46059.0</v>
      </c>
      <c r="G580" s="8" t="s">
        <v>897</v>
      </c>
      <c r="H580" s="8" t="s">
        <v>1238</v>
      </c>
      <c r="I580" s="2">
        <v>392.0</v>
      </c>
    </row>
    <row r="581" ht="22.5" customHeight="1">
      <c r="A581" s="2">
        <v>580.0</v>
      </c>
      <c r="B581" s="2" t="s">
        <v>1234</v>
      </c>
      <c r="C581" s="2" t="s">
        <v>270</v>
      </c>
      <c r="D581" s="2">
        <v>196.0</v>
      </c>
      <c r="E581" s="5">
        <v>46061.0</v>
      </c>
      <c r="F581" s="5">
        <v>46059.0</v>
      </c>
      <c r="G581" s="8" t="s">
        <v>897</v>
      </c>
      <c r="H581" s="8" t="s">
        <v>1238</v>
      </c>
      <c r="I581" s="2">
        <v>392.0</v>
      </c>
    </row>
    <row r="582" ht="22.5" customHeight="1">
      <c r="A582" s="2">
        <v>581.0</v>
      </c>
      <c r="B582" s="2" t="s">
        <v>1239</v>
      </c>
      <c r="C582" s="2" t="s">
        <v>276</v>
      </c>
      <c r="D582" s="2">
        <v>3578.0</v>
      </c>
      <c r="E582" s="5">
        <v>46057.0</v>
      </c>
      <c r="F582" s="5">
        <v>46115.0</v>
      </c>
      <c r="G582" s="2" t="s">
        <v>1240</v>
      </c>
      <c r="H582" s="2" t="s">
        <v>1241</v>
      </c>
      <c r="I582" s="8">
        <v>351456.0</v>
      </c>
    </row>
    <row r="583" ht="22.5" customHeight="1">
      <c r="A583" s="2">
        <v>582.0</v>
      </c>
      <c r="B583" s="2" t="s">
        <v>1239</v>
      </c>
      <c r="C583" s="2" t="s">
        <v>276</v>
      </c>
      <c r="D583" s="2">
        <v>3579.0</v>
      </c>
      <c r="E583" s="5">
        <v>46057.0</v>
      </c>
      <c r="F583" s="5">
        <v>46115.0</v>
      </c>
      <c r="G583" s="2" t="s">
        <v>1242</v>
      </c>
      <c r="H583" s="2" t="s">
        <v>1243</v>
      </c>
      <c r="I583" s="8">
        <v>351762.0</v>
      </c>
    </row>
    <row r="584" ht="22.5" customHeight="1">
      <c r="A584" s="2">
        <v>583.0</v>
      </c>
      <c r="B584" s="2" t="s">
        <v>1244</v>
      </c>
      <c r="C584" s="2" t="s">
        <v>272</v>
      </c>
      <c r="D584" s="2">
        <v>553.0</v>
      </c>
      <c r="E584" s="5">
        <v>46236.0</v>
      </c>
      <c r="F584" s="5">
        <v>46144.0</v>
      </c>
      <c r="G584" s="8" t="s">
        <v>1245</v>
      </c>
      <c r="H584" s="8" t="s">
        <v>1246</v>
      </c>
      <c r="I584" s="2" t="s">
        <v>1247</v>
      </c>
    </row>
    <row r="585" ht="22.5" customHeight="1">
      <c r="A585" s="2">
        <v>584.0</v>
      </c>
      <c r="B585" s="2" t="s">
        <v>1244</v>
      </c>
      <c r="C585" s="2" t="s">
        <v>272</v>
      </c>
      <c r="D585" s="2">
        <v>554.0</v>
      </c>
      <c r="E585" s="5">
        <v>46236.0</v>
      </c>
      <c r="F585" s="5">
        <v>46144.0</v>
      </c>
      <c r="G585" s="8" t="s">
        <v>1248</v>
      </c>
      <c r="H585" s="7">
        <v>1385.0</v>
      </c>
      <c r="I585" s="2" t="s">
        <v>1249</v>
      </c>
    </row>
    <row r="586" ht="22.5" customHeight="1">
      <c r="A586" s="2">
        <v>585.0</v>
      </c>
      <c r="B586" s="2" t="s">
        <v>1244</v>
      </c>
      <c r="C586" s="2" t="s">
        <v>272</v>
      </c>
      <c r="D586" s="2">
        <v>553.0</v>
      </c>
      <c r="E586" s="5">
        <v>46236.0</v>
      </c>
      <c r="F586" s="5">
        <v>46144.0</v>
      </c>
      <c r="G586" s="8" t="s">
        <v>1245</v>
      </c>
      <c r="H586" s="8" t="s">
        <v>1246</v>
      </c>
      <c r="I586" s="2" t="s">
        <v>1247</v>
      </c>
    </row>
    <row r="587" ht="22.5" customHeight="1">
      <c r="A587" s="2">
        <v>586.0</v>
      </c>
      <c r="B587" s="2" t="s">
        <v>1250</v>
      </c>
      <c r="C587" s="2" t="s">
        <v>276</v>
      </c>
      <c r="D587" s="2">
        <v>697.0</v>
      </c>
      <c r="E587" s="5">
        <v>46057.0</v>
      </c>
      <c r="F587" s="5">
        <v>46115.0</v>
      </c>
      <c r="G587" s="8">
        <v>375196.0</v>
      </c>
      <c r="H587" s="8">
        <v>171513.0</v>
      </c>
      <c r="I587" s="2" t="s">
        <v>1251</v>
      </c>
    </row>
    <row r="588" ht="22.5" customHeight="1">
      <c r="A588" s="2">
        <v>587.0</v>
      </c>
      <c r="B588" s="2" t="s">
        <v>1250</v>
      </c>
      <c r="C588" s="2" t="s">
        <v>272</v>
      </c>
      <c r="D588" s="2">
        <v>1045.0</v>
      </c>
      <c r="E588" s="5">
        <v>46236.0</v>
      </c>
      <c r="F588" s="5">
        <v>46144.0</v>
      </c>
      <c r="G588" s="2">
        <v>2926.0</v>
      </c>
      <c r="H588" s="8">
        <v>260175.0</v>
      </c>
      <c r="I588" s="2" t="s">
        <v>1252</v>
      </c>
    </row>
    <row r="589" ht="22.5" customHeight="1">
      <c r="A589" s="2">
        <v>588.0</v>
      </c>
      <c r="B589" s="2" t="s">
        <v>1253</v>
      </c>
      <c r="C589" s="2" t="s">
        <v>269</v>
      </c>
      <c r="D589" s="2">
        <v>2889.0</v>
      </c>
      <c r="E589" s="5">
        <v>46058.0</v>
      </c>
      <c r="F589" s="6">
        <v>46146.0</v>
      </c>
      <c r="G589" s="2" t="s">
        <v>1254</v>
      </c>
      <c r="H589" s="2" t="s">
        <v>1255</v>
      </c>
      <c r="I589" s="2" t="s">
        <v>1256</v>
      </c>
    </row>
    <row r="590" ht="22.5" customHeight="1">
      <c r="A590" s="2">
        <v>589.0</v>
      </c>
      <c r="B590" s="2" t="s">
        <v>1253</v>
      </c>
      <c r="C590" s="2" t="s">
        <v>269</v>
      </c>
      <c r="D590" s="2">
        <v>2888.0</v>
      </c>
      <c r="E590" s="5">
        <v>46058.0</v>
      </c>
      <c r="F590" s="6">
        <v>46146.0</v>
      </c>
      <c r="G590" s="2" t="s">
        <v>1257</v>
      </c>
      <c r="H590" s="2" t="s">
        <v>1258</v>
      </c>
      <c r="I590" s="8">
        <v>519043.0</v>
      </c>
    </row>
    <row r="591" ht="22.5" customHeight="1">
      <c r="A591" s="2">
        <v>590.0</v>
      </c>
      <c r="B591" s="2" t="s">
        <v>1253</v>
      </c>
      <c r="C591" s="2" t="s">
        <v>269</v>
      </c>
      <c r="D591" s="2">
        <v>2889.0</v>
      </c>
      <c r="E591" s="5">
        <v>46058.0</v>
      </c>
      <c r="F591" s="6">
        <v>46146.0</v>
      </c>
      <c r="G591" s="2" t="s">
        <v>1254</v>
      </c>
      <c r="H591" s="2" t="s">
        <v>1255</v>
      </c>
      <c r="I591" s="2" t="s">
        <v>1256</v>
      </c>
    </row>
    <row r="592" ht="22.5" customHeight="1">
      <c r="A592" s="2">
        <v>591.0</v>
      </c>
      <c r="B592" s="2" t="s">
        <v>1259</v>
      </c>
      <c r="C592" s="2" t="s">
        <v>276</v>
      </c>
      <c r="D592" s="2">
        <v>8177.0</v>
      </c>
      <c r="E592" s="5">
        <v>46057.0</v>
      </c>
      <c r="F592" s="5">
        <v>46115.0</v>
      </c>
      <c r="G592" s="2" t="s">
        <v>1260</v>
      </c>
      <c r="H592" s="2" t="s">
        <v>1261</v>
      </c>
      <c r="I592" s="8">
        <v>1695244.0</v>
      </c>
    </row>
    <row r="593" ht="22.5" customHeight="1">
      <c r="A593" s="2">
        <v>592.0</v>
      </c>
      <c r="B593" s="2" t="s">
        <v>1259</v>
      </c>
      <c r="C593" s="2" t="s">
        <v>317</v>
      </c>
      <c r="D593" s="2">
        <v>5284.0</v>
      </c>
      <c r="E593" s="5">
        <v>46148.0</v>
      </c>
      <c r="F593" s="5">
        <v>46027.0</v>
      </c>
      <c r="G593" s="2">
        <v>34346.0</v>
      </c>
      <c r="H593" s="2" t="s">
        <v>1262</v>
      </c>
      <c r="I593" s="8">
        <v>2007892.0</v>
      </c>
    </row>
    <row r="594" ht="22.5" customHeight="1">
      <c r="A594" s="2">
        <v>593.0</v>
      </c>
      <c r="B594" s="2" t="s">
        <v>1263</v>
      </c>
      <c r="C594" s="2" t="s">
        <v>272</v>
      </c>
      <c r="D594" s="2">
        <v>21093.0</v>
      </c>
      <c r="E594" s="5">
        <v>46236.0</v>
      </c>
      <c r="F594" s="5">
        <v>46144.0</v>
      </c>
      <c r="G594" s="2" t="s">
        <v>1264</v>
      </c>
      <c r="H594" s="2" t="s">
        <v>1265</v>
      </c>
      <c r="I594" s="8">
        <v>1617173.0</v>
      </c>
    </row>
    <row r="595" ht="22.5" customHeight="1">
      <c r="A595" s="2">
        <v>594.0</v>
      </c>
      <c r="B595" s="2" t="s">
        <v>1266</v>
      </c>
      <c r="C595" s="2" t="s">
        <v>272</v>
      </c>
      <c r="D595" s="2">
        <v>7711.0</v>
      </c>
      <c r="E595" s="5">
        <v>46236.0</v>
      </c>
      <c r="F595" s="5">
        <v>46144.0</v>
      </c>
      <c r="G595" s="2" t="s">
        <v>1267</v>
      </c>
      <c r="H595" s="2" t="s">
        <v>1268</v>
      </c>
      <c r="I595" s="8">
        <v>150906.0</v>
      </c>
    </row>
    <row r="596" ht="22.5" customHeight="1">
      <c r="A596" s="2">
        <v>595.0</v>
      </c>
      <c r="B596" s="2" t="s">
        <v>1266</v>
      </c>
      <c r="C596" s="2" t="s">
        <v>272</v>
      </c>
      <c r="D596" s="2">
        <v>7712.0</v>
      </c>
      <c r="E596" s="5">
        <v>46236.0</v>
      </c>
      <c r="F596" s="5">
        <v>46144.0</v>
      </c>
      <c r="G596" s="2" t="s">
        <v>1269</v>
      </c>
      <c r="H596" s="7">
        <v>19280.0</v>
      </c>
      <c r="I596" s="8">
        <v>150998.0</v>
      </c>
    </row>
    <row r="597" ht="22.5" customHeight="1">
      <c r="A597" s="2">
        <v>596.0</v>
      </c>
      <c r="B597" s="2" t="s">
        <v>1266</v>
      </c>
      <c r="C597" s="2" t="s">
        <v>272</v>
      </c>
      <c r="D597" s="2">
        <v>7711.0</v>
      </c>
      <c r="E597" s="5">
        <v>46236.0</v>
      </c>
      <c r="F597" s="5">
        <v>46144.0</v>
      </c>
      <c r="G597" s="2" t="s">
        <v>1267</v>
      </c>
      <c r="H597" s="2" t="s">
        <v>1268</v>
      </c>
      <c r="I597" s="8">
        <v>150906.0</v>
      </c>
    </row>
    <row r="598" ht="22.5" customHeight="1">
      <c r="A598" s="2">
        <v>597.0</v>
      </c>
      <c r="B598" s="2" t="s">
        <v>1270</v>
      </c>
      <c r="C598" s="2" t="s">
        <v>272</v>
      </c>
      <c r="D598" s="2">
        <v>5013.0</v>
      </c>
      <c r="E598" s="5">
        <v>46236.0</v>
      </c>
      <c r="F598" s="5">
        <v>46144.0</v>
      </c>
      <c r="G598" s="2" t="s">
        <v>1271</v>
      </c>
      <c r="H598" s="2" t="s">
        <v>1272</v>
      </c>
      <c r="I598" s="8" t="s">
        <v>1273</v>
      </c>
    </row>
    <row r="599" ht="22.5" customHeight="1">
      <c r="A599" s="2">
        <v>598.0</v>
      </c>
      <c r="B599" s="2" t="s">
        <v>1270</v>
      </c>
      <c r="C599" s="2" t="s">
        <v>272</v>
      </c>
      <c r="D599" s="2">
        <v>5013.0</v>
      </c>
      <c r="E599" s="5">
        <v>46236.0</v>
      </c>
      <c r="F599" s="5">
        <v>46144.0</v>
      </c>
      <c r="G599" s="2" t="s">
        <v>1271</v>
      </c>
      <c r="H599" s="2" t="s">
        <v>1272</v>
      </c>
      <c r="I599" s="8" t="s">
        <v>1273</v>
      </c>
    </row>
    <row r="600" ht="22.5" customHeight="1">
      <c r="A600" s="2">
        <v>599.0</v>
      </c>
      <c r="B600" s="2" t="s">
        <v>1274</v>
      </c>
      <c r="C600" s="2" t="s">
        <v>272</v>
      </c>
      <c r="D600" s="2">
        <v>1939.0</v>
      </c>
      <c r="E600" s="5">
        <v>46236.0</v>
      </c>
      <c r="F600" s="5">
        <v>46144.0</v>
      </c>
      <c r="G600" s="8">
        <v>1288974.0</v>
      </c>
      <c r="H600" s="8">
        <v>1076492.0</v>
      </c>
      <c r="I600" s="2" t="s">
        <v>1275</v>
      </c>
    </row>
    <row r="601" ht="22.5" customHeight="1">
      <c r="A601" s="2">
        <v>600.0</v>
      </c>
      <c r="B601" s="2" t="s">
        <v>1276</v>
      </c>
      <c r="C601" s="2" t="s">
        <v>272</v>
      </c>
      <c r="D601" s="2">
        <v>2134.0</v>
      </c>
      <c r="E601" s="5">
        <v>46236.0</v>
      </c>
      <c r="F601" s="5">
        <v>46144.0</v>
      </c>
      <c r="G601" s="8">
        <v>1488396.0</v>
      </c>
      <c r="H601" s="7">
        <v>5335.0</v>
      </c>
      <c r="I601" s="2" t="s">
        <v>1277</v>
      </c>
    </row>
    <row r="602" ht="22.5" customHeight="1">
      <c r="A602" s="2">
        <v>601.0</v>
      </c>
      <c r="B602" s="2" t="s">
        <v>1276</v>
      </c>
      <c r="C602" s="2" t="s">
        <v>272</v>
      </c>
      <c r="D602" s="2">
        <v>2135.0</v>
      </c>
      <c r="E602" s="5">
        <v>46236.0</v>
      </c>
      <c r="F602" s="5">
        <v>46144.0</v>
      </c>
      <c r="G602" s="2">
        <v>5978.0</v>
      </c>
      <c r="H602" s="8">
        <v>1255461.0</v>
      </c>
      <c r="I602" s="2" t="s">
        <v>1278</v>
      </c>
    </row>
    <row r="603" ht="22.5" customHeight="1">
      <c r="A603" s="2">
        <v>602.0</v>
      </c>
      <c r="B603" s="2" t="s">
        <v>1276</v>
      </c>
      <c r="C603" s="2" t="s">
        <v>317</v>
      </c>
      <c r="D603" s="2">
        <v>919.0</v>
      </c>
      <c r="E603" s="5">
        <v>46148.0</v>
      </c>
      <c r="F603" s="5">
        <v>46027.0</v>
      </c>
      <c r="G603" s="8">
        <v>1487755.0</v>
      </c>
      <c r="H603" s="8">
        <v>1017811.0</v>
      </c>
      <c r="I603" s="8" t="s">
        <v>1279</v>
      </c>
    </row>
    <row r="604" ht="22.5" customHeight="1">
      <c r="A604" s="2">
        <v>603.0</v>
      </c>
      <c r="B604" s="2" t="s">
        <v>1280</v>
      </c>
      <c r="C604" s="2" t="s">
        <v>272</v>
      </c>
      <c r="D604" s="2">
        <v>1280.0</v>
      </c>
      <c r="E604" s="5">
        <v>46236.0</v>
      </c>
      <c r="F604" s="5">
        <v>46144.0</v>
      </c>
      <c r="G604" s="2">
        <v>3584.0</v>
      </c>
      <c r="H604" s="7">
        <v>3200.0</v>
      </c>
      <c r="I604" s="2">
        <v>384.0</v>
      </c>
    </row>
    <row r="605" ht="22.5" customHeight="1">
      <c r="A605" s="2">
        <v>604.0</v>
      </c>
      <c r="B605" s="2" t="s">
        <v>1280</v>
      </c>
      <c r="C605" s="2" t="s">
        <v>276</v>
      </c>
      <c r="D605" s="2">
        <v>854.0</v>
      </c>
      <c r="E605" s="5">
        <v>46057.0</v>
      </c>
      <c r="F605" s="5">
        <v>46115.0</v>
      </c>
      <c r="G605" s="8">
        <v>616013.0</v>
      </c>
      <c r="H605" s="8">
        <v>366491.0</v>
      </c>
      <c r="I605" s="2" t="s">
        <v>1281</v>
      </c>
    </row>
    <row r="606" ht="22.5" customHeight="1">
      <c r="A606" s="2">
        <v>605.0</v>
      </c>
      <c r="B606" s="2" t="s">
        <v>1280</v>
      </c>
      <c r="C606" s="2" t="s">
        <v>317</v>
      </c>
      <c r="D606" s="2">
        <v>551.0</v>
      </c>
      <c r="E606" s="5">
        <v>46148.0</v>
      </c>
      <c r="F606" s="5">
        <v>46027.0</v>
      </c>
      <c r="G606" s="8">
        <v>614095.0</v>
      </c>
      <c r="H606" s="8">
        <v>332373.0</v>
      </c>
      <c r="I606" s="2" t="s">
        <v>1282</v>
      </c>
    </row>
    <row r="607" ht="22.5" customHeight="1">
      <c r="A607" s="2">
        <v>606.0</v>
      </c>
      <c r="B607" s="2" t="s">
        <v>1283</v>
      </c>
      <c r="C607" s="2" t="s">
        <v>278</v>
      </c>
      <c r="D607" s="2">
        <v>2169.0</v>
      </c>
      <c r="E607" s="5">
        <v>46115.0</v>
      </c>
      <c r="F607" s="2" t="s">
        <v>279</v>
      </c>
      <c r="G607" s="8">
        <v>1999491.0</v>
      </c>
      <c r="H607" s="2" t="s">
        <v>1284</v>
      </c>
      <c r="I607" s="2" t="s">
        <v>1285</v>
      </c>
    </row>
    <row r="608" ht="22.5" customHeight="1">
      <c r="A608" s="2">
        <v>607.0</v>
      </c>
      <c r="B608" s="2" t="s">
        <v>1283</v>
      </c>
      <c r="C608" s="2" t="s">
        <v>278</v>
      </c>
      <c r="D608" s="2">
        <v>2169.0</v>
      </c>
      <c r="E608" s="5">
        <v>46115.0</v>
      </c>
      <c r="F608" s="2" t="s">
        <v>279</v>
      </c>
      <c r="G608" s="8">
        <v>1999491.0</v>
      </c>
      <c r="H608" s="2" t="s">
        <v>1284</v>
      </c>
      <c r="I608" s="2" t="s">
        <v>1285</v>
      </c>
    </row>
    <row r="609" ht="22.5" customHeight="1">
      <c r="A609" s="2">
        <v>608.0</v>
      </c>
      <c r="B609" s="2" t="s">
        <v>1283</v>
      </c>
      <c r="C609" s="2" t="s">
        <v>278</v>
      </c>
      <c r="D609" s="2">
        <v>2170.0</v>
      </c>
      <c r="E609" s="5">
        <v>46115.0</v>
      </c>
      <c r="F609" s="2" t="s">
        <v>279</v>
      </c>
      <c r="G609" s="2">
        <v>7378.0</v>
      </c>
      <c r="H609" s="8">
        <v>1564822.0</v>
      </c>
      <c r="I609" s="8" t="s">
        <v>1286</v>
      </c>
    </row>
    <row r="610" ht="22.5" customHeight="1">
      <c r="A610" s="2">
        <v>609.0</v>
      </c>
      <c r="B610" s="2" t="s">
        <v>1287</v>
      </c>
      <c r="C610" s="2" t="s">
        <v>278</v>
      </c>
      <c r="D610" s="2">
        <v>506.0</v>
      </c>
      <c r="E610" s="5">
        <v>46115.0</v>
      </c>
      <c r="F610" s="2" t="s">
        <v>279</v>
      </c>
      <c r="G610" s="8" t="s">
        <v>1288</v>
      </c>
      <c r="H610" s="8" t="s">
        <v>1289</v>
      </c>
      <c r="I610" s="2" t="s">
        <v>1290</v>
      </c>
    </row>
    <row r="611" ht="22.5" customHeight="1">
      <c r="A611" s="2">
        <v>610.0</v>
      </c>
      <c r="B611" s="2" t="s">
        <v>1287</v>
      </c>
      <c r="C611" s="2" t="s">
        <v>270</v>
      </c>
      <c r="D611" s="2">
        <v>210.0</v>
      </c>
      <c r="E611" s="5">
        <v>46061.0</v>
      </c>
      <c r="F611" s="5">
        <v>46059.0</v>
      </c>
      <c r="G611" s="2">
        <v>1722.0</v>
      </c>
      <c r="H611" s="7">
        <v>1302.0</v>
      </c>
      <c r="I611" s="2">
        <v>420.0</v>
      </c>
    </row>
    <row r="612" ht="22.5" customHeight="1">
      <c r="A612" s="2">
        <v>611.0</v>
      </c>
      <c r="B612" s="2" t="s">
        <v>1287</v>
      </c>
      <c r="C612" s="2" t="s">
        <v>269</v>
      </c>
      <c r="D612" s="2">
        <v>331.0</v>
      </c>
      <c r="E612" s="5">
        <v>46058.0</v>
      </c>
      <c r="F612" s="6">
        <v>46146.0</v>
      </c>
      <c r="G612" s="8" t="s">
        <v>1291</v>
      </c>
      <c r="H612" s="2" t="s">
        <v>1292</v>
      </c>
      <c r="I612" s="2" t="s">
        <v>1293</v>
      </c>
    </row>
    <row r="613" ht="22.5" customHeight="1">
      <c r="A613" s="2">
        <v>612.0</v>
      </c>
      <c r="B613" s="2" t="s">
        <v>1294</v>
      </c>
      <c r="C613" s="2" t="s">
        <v>270</v>
      </c>
      <c r="D613" s="2">
        <v>228.0</v>
      </c>
      <c r="E613" s="5">
        <v>46061.0</v>
      </c>
      <c r="F613" s="5">
        <v>46059.0</v>
      </c>
      <c r="G613" s="8" t="s">
        <v>1295</v>
      </c>
      <c r="H613" s="8" t="s">
        <v>1296</v>
      </c>
      <c r="I613" s="2">
        <v>456.0</v>
      </c>
    </row>
    <row r="614" ht="22.5" customHeight="1">
      <c r="A614" s="2">
        <v>613.0</v>
      </c>
      <c r="B614" s="2" t="s">
        <v>1294</v>
      </c>
      <c r="C614" s="2" t="s">
        <v>270</v>
      </c>
      <c r="D614" s="2">
        <v>228.0</v>
      </c>
      <c r="E614" s="5">
        <v>46061.0</v>
      </c>
      <c r="F614" s="5">
        <v>46059.0</v>
      </c>
      <c r="G614" s="8" t="s">
        <v>1295</v>
      </c>
      <c r="H614" s="8" t="s">
        <v>1296</v>
      </c>
      <c r="I614" s="2">
        <v>456.0</v>
      </c>
    </row>
    <row r="615" ht="22.5" customHeight="1">
      <c r="A615" s="2">
        <v>614.0</v>
      </c>
      <c r="B615" s="2" t="s">
        <v>1297</v>
      </c>
      <c r="C615" s="2" t="s">
        <v>311</v>
      </c>
      <c r="D615" s="2">
        <v>13665.0</v>
      </c>
      <c r="E615" s="5">
        <v>46057.0</v>
      </c>
      <c r="F615" s="5">
        <v>46084.0</v>
      </c>
      <c r="G615" s="2">
        <v>57393.0</v>
      </c>
      <c r="H615" s="2" t="s">
        <v>1298</v>
      </c>
      <c r="I615" s="2" t="s">
        <v>1299</v>
      </c>
    </row>
    <row r="616" ht="22.5" customHeight="1">
      <c r="A616" s="2">
        <v>615.0</v>
      </c>
      <c r="B616" s="2" t="s">
        <v>1297</v>
      </c>
      <c r="C616" s="2" t="s">
        <v>291</v>
      </c>
      <c r="D616" s="2">
        <v>8440.0</v>
      </c>
      <c r="E616" s="5">
        <v>46240.0</v>
      </c>
      <c r="F616" s="5">
        <v>46027.0</v>
      </c>
      <c r="G616" s="2">
        <v>57392.0</v>
      </c>
      <c r="H616" s="7">
        <v>43044.0</v>
      </c>
      <c r="I616" s="2">
        <v>14348.0</v>
      </c>
    </row>
    <row r="617" ht="22.5" customHeight="1">
      <c r="A617" s="2">
        <v>616.0</v>
      </c>
      <c r="B617" s="2" t="s">
        <v>1300</v>
      </c>
      <c r="C617" s="2" t="s">
        <v>276</v>
      </c>
      <c r="D617" s="2">
        <v>1366.0</v>
      </c>
      <c r="E617" s="5">
        <v>46057.0</v>
      </c>
      <c r="F617" s="5">
        <v>46115.0</v>
      </c>
      <c r="G617" s="8">
        <v>1401469.0</v>
      </c>
      <c r="H617" s="8">
        <v>1002318.0</v>
      </c>
      <c r="I617" s="8" t="s">
        <v>1301</v>
      </c>
    </row>
    <row r="618" ht="22.5" customHeight="1">
      <c r="A618" s="2">
        <v>617.0</v>
      </c>
      <c r="B618" s="2" t="s">
        <v>1300</v>
      </c>
      <c r="C618" s="2" t="s">
        <v>276</v>
      </c>
      <c r="D618" s="2">
        <v>1367.0</v>
      </c>
      <c r="E618" s="5">
        <v>46057.0</v>
      </c>
      <c r="F618" s="5">
        <v>46115.0</v>
      </c>
      <c r="G618" s="8">
        <v>1402989.0</v>
      </c>
      <c r="H618" s="8">
        <v>1003535.0</v>
      </c>
      <c r="I618" s="8" t="s">
        <v>1302</v>
      </c>
    </row>
    <row r="619" ht="22.5" customHeight="1">
      <c r="A619" s="2">
        <v>618.0</v>
      </c>
      <c r="B619" s="2" t="s">
        <v>1303</v>
      </c>
      <c r="C619" s="2" t="s">
        <v>278</v>
      </c>
      <c r="D619" s="2">
        <v>1176.0</v>
      </c>
      <c r="E619" s="5">
        <v>46115.0</v>
      </c>
      <c r="F619" s="2" t="s">
        <v>279</v>
      </c>
      <c r="G619" s="8">
        <v>766371.0</v>
      </c>
      <c r="H619" s="8">
        <v>530120.0</v>
      </c>
      <c r="I619" s="2" t="s">
        <v>1304</v>
      </c>
    </row>
    <row r="620" ht="22.5" customHeight="1">
      <c r="A620" s="2">
        <v>619.0</v>
      </c>
      <c r="B620" s="2" t="s">
        <v>1303</v>
      </c>
      <c r="C620" s="2" t="s">
        <v>270</v>
      </c>
      <c r="D620" s="2">
        <v>488.0</v>
      </c>
      <c r="E620" s="5">
        <v>46061.0</v>
      </c>
      <c r="F620" s="5">
        <v>46059.0</v>
      </c>
      <c r="G620" s="8">
        <v>767528.0</v>
      </c>
      <c r="H620" s="8">
        <v>411051.0</v>
      </c>
      <c r="I620" s="2">
        <v>976.0</v>
      </c>
    </row>
    <row r="621" ht="22.5" customHeight="1">
      <c r="A621" s="2">
        <v>620.0</v>
      </c>
      <c r="B621" s="2" t="s">
        <v>1303</v>
      </c>
      <c r="C621" s="2" t="s">
        <v>270</v>
      </c>
      <c r="D621" s="2">
        <v>487.0</v>
      </c>
      <c r="E621" s="5">
        <v>46061.0</v>
      </c>
      <c r="F621" s="5">
        <v>46059.0</v>
      </c>
      <c r="G621" s="8">
        <v>764545.0</v>
      </c>
      <c r="H621" s="8">
        <v>408798.0</v>
      </c>
      <c r="I621" s="2">
        <v>974.0</v>
      </c>
    </row>
    <row r="622" ht="22.5" customHeight="1">
      <c r="A622" s="2">
        <v>621.0</v>
      </c>
      <c r="B622" s="2" t="s">
        <v>1305</v>
      </c>
      <c r="C622" s="2" t="s">
        <v>276</v>
      </c>
      <c r="D622" s="2">
        <v>703.0</v>
      </c>
      <c r="E622" s="5">
        <v>46057.0</v>
      </c>
      <c r="F622" s="5">
        <v>46115.0</v>
      </c>
      <c r="G622" s="8">
        <v>384389.0</v>
      </c>
      <c r="H622" s="8">
        <v>179002.0</v>
      </c>
      <c r="I622" s="2" t="s">
        <v>1306</v>
      </c>
    </row>
    <row r="623" ht="22.5" customHeight="1">
      <c r="A623" s="2">
        <v>622.0</v>
      </c>
      <c r="B623" s="2" t="s">
        <v>1305</v>
      </c>
      <c r="C623" s="2" t="s">
        <v>317</v>
      </c>
      <c r="D623" s="2">
        <v>454.0</v>
      </c>
      <c r="E623" s="5">
        <v>46148.0</v>
      </c>
      <c r="F623" s="5">
        <v>46027.0</v>
      </c>
      <c r="G623" s="2">
        <v>2951.0</v>
      </c>
      <c r="H623" s="8">
        <v>151667.0</v>
      </c>
      <c r="I623" s="2" t="s">
        <v>1307</v>
      </c>
    </row>
    <row r="624" ht="22.5" customHeight="1">
      <c r="A624" s="2">
        <v>623.0</v>
      </c>
      <c r="B624" s="2" t="s">
        <v>1305</v>
      </c>
      <c r="C624" s="2" t="s">
        <v>317</v>
      </c>
      <c r="D624" s="2">
        <v>454.0</v>
      </c>
      <c r="E624" s="5">
        <v>46148.0</v>
      </c>
      <c r="F624" s="5">
        <v>46027.0</v>
      </c>
      <c r="G624" s="2">
        <v>2951.0</v>
      </c>
      <c r="H624" s="8">
        <v>151667.0</v>
      </c>
      <c r="I624" s="2" t="s">
        <v>1307</v>
      </c>
    </row>
    <row r="625" ht="22.5" customHeight="1">
      <c r="A625" s="2">
        <v>624.0</v>
      </c>
      <c r="B625" s="2" t="s">
        <v>1308</v>
      </c>
      <c r="C625" s="2" t="s">
        <v>276</v>
      </c>
      <c r="D625" s="2">
        <v>6607.0</v>
      </c>
      <c r="E625" s="5">
        <v>46057.0</v>
      </c>
      <c r="F625" s="5">
        <v>46115.0</v>
      </c>
      <c r="G625" s="2" t="s">
        <v>1309</v>
      </c>
      <c r="H625" s="2" t="s">
        <v>1310</v>
      </c>
      <c r="I625" s="8">
        <v>1236500.0</v>
      </c>
    </row>
    <row r="626" ht="22.5" customHeight="1">
      <c r="A626" s="2">
        <v>625.0</v>
      </c>
      <c r="B626" s="2" t="s">
        <v>1311</v>
      </c>
      <c r="C626" s="2" t="s">
        <v>276</v>
      </c>
      <c r="D626" s="2">
        <v>1112.0</v>
      </c>
      <c r="E626" s="5">
        <v>46057.0</v>
      </c>
      <c r="F626" s="5">
        <v>46115.0</v>
      </c>
      <c r="G626" s="8">
        <v>1011814.0</v>
      </c>
      <c r="H626" s="8">
        <v>686871.0</v>
      </c>
      <c r="I626" s="2" t="s">
        <v>1312</v>
      </c>
    </row>
    <row r="627" ht="22.5" customHeight="1">
      <c r="A627" s="2">
        <v>626.0</v>
      </c>
      <c r="B627" s="2" t="s">
        <v>1311</v>
      </c>
      <c r="C627" s="2" t="s">
        <v>276</v>
      </c>
      <c r="D627" s="2">
        <v>1113.0</v>
      </c>
      <c r="E627" s="5">
        <v>46057.0</v>
      </c>
      <c r="F627" s="5">
        <v>46115.0</v>
      </c>
      <c r="G627" s="8">
        <v>1013336.0</v>
      </c>
      <c r="H627" s="8">
        <v>688150.0</v>
      </c>
      <c r="I627" s="2" t="s">
        <v>1313</v>
      </c>
    </row>
    <row r="628" ht="22.5" customHeight="1">
      <c r="A628" s="2">
        <v>627.0</v>
      </c>
      <c r="B628" s="2" t="s">
        <v>1311</v>
      </c>
      <c r="C628" s="2" t="s">
        <v>276</v>
      </c>
      <c r="D628" s="2">
        <v>1112.0</v>
      </c>
      <c r="E628" s="5">
        <v>46057.0</v>
      </c>
      <c r="F628" s="5">
        <v>46115.0</v>
      </c>
      <c r="G628" s="8">
        <v>1011814.0</v>
      </c>
      <c r="H628" s="8">
        <v>686871.0</v>
      </c>
      <c r="I628" s="2" t="s">
        <v>1312</v>
      </c>
    </row>
    <row r="629" ht="22.5" customHeight="1">
      <c r="A629" s="2">
        <v>628.0</v>
      </c>
      <c r="B629" s="2" t="s">
        <v>1314</v>
      </c>
      <c r="C629" s="2" t="s">
        <v>278</v>
      </c>
      <c r="D629" s="2">
        <v>13999.0</v>
      </c>
      <c r="E629" s="5">
        <v>46115.0</v>
      </c>
      <c r="F629" s="2" t="s">
        <v>279</v>
      </c>
      <c r="G629" s="2" t="s">
        <v>1315</v>
      </c>
      <c r="H629" s="2" t="s">
        <v>1316</v>
      </c>
      <c r="I629" s="2" t="s">
        <v>1317</v>
      </c>
    </row>
    <row r="630" ht="22.5" customHeight="1">
      <c r="A630" s="2">
        <v>629.0</v>
      </c>
      <c r="B630" s="2" t="s">
        <v>1318</v>
      </c>
      <c r="C630" s="2" t="s">
        <v>272</v>
      </c>
      <c r="D630" s="2">
        <v>6644.0</v>
      </c>
      <c r="E630" s="5">
        <v>46236.0</v>
      </c>
      <c r="F630" s="5">
        <v>46144.0</v>
      </c>
      <c r="G630" s="2" t="s">
        <v>1319</v>
      </c>
      <c r="H630" s="7">
        <v>16610.0</v>
      </c>
      <c r="I630" s="8">
        <v>34001.0</v>
      </c>
    </row>
    <row r="631" ht="22.5" customHeight="1">
      <c r="A631" s="2">
        <v>630.0</v>
      </c>
      <c r="B631" s="2" t="s">
        <v>1320</v>
      </c>
      <c r="C631" s="2" t="s">
        <v>272</v>
      </c>
      <c r="D631" s="2">
        <v>9255.0</v>
      </c>
      <c r="E631" s="5">
        <v>46236.0</v>
      </c>
      <c r="F631" s="5">
        <v>46144.0</v>
      </c>
      <c r="G631" s="2">
        <v>25914.0</v>
      </c>
      <c r="H631" s="2" t="s">
        <v>1321</v>
      </c>
      <c r="I631" s="8">
        <v>320075.0</v>
      </c>
    </row>
    <row r="632" ht="22.5" customHeight="1">
      <c r="A632" s="2">
        <v>631.0</v>
      </c>
      <c r="B632" s="2" t="s">
        <v>1320</v>
      </c>
      <c r="C632" s="2" t="s">
        <v>272</v>
      </c>
      <c r="D632" s="2">
        <v>9254.0</v>
      </c>
      <c r="E632" s="5">
        <v>46236.0</v>
      </c>
      <c r="F632" s="5">
        <v>46144.0</v>
      </c>
      <c r="G632" s="2" t="s">
        <v>1322</v>
      </c>
      <c r="H632" s="7">
        <v>23135.0</v>
      </c>
      <c r="I632" s="8">
        <v>319985.0</v>
      </c>
    </row>
    <row r="633" ht="22.5" customHeight="1">
      <c r="A633" s="2">
        <v>632.0</v>
      </c>
      <c r="B633" s="2" t="s">
        <v>1323</v>
      </c>
      <c r="C633" s="2" t="s">
        <v>278</v>
      </c>
      <c r="D633" s="2">
        <v>686.0</v>
      </c>
      <c r="E633" s="5">
        <v>46115.0</v>
      </c>
      <c r="F633" s="2" t="s">
        <v>279</v>
      </c>
      <c r="G633" s="8">
        <v>157877.0</v>
      </c>
      <c r="H633" s="8">
        <v>20090.0</v>
      </c>
      <c r="I633" s="2" t="s">
        <v>1324</v>
      </c>
    </row>
    <row r="634" ht="22.5" customHeight="1">
      <c r="A634" s="2">
        <v>633.0</v>
      </c>
      <c r="B634" s="2" t="s">
        <v>1323</v>
      </c>
      <c r="C634" s="2" t="s">
        <v>278</v>
      </c>
      <c r="D634" s="2">
        <v>686.0</v>
      </c>
      <c r="E634" s="5">
        <v>46115.0</v>
      </c>
      <c r="F634" s="2" t="s">
        <v>279</v>
      </c>
      <c r="G634" s="8">
        <v>157877.0</v>
      </c>
      <c r="H634" s="8">
        <v>20090.0</v>
      </c>
      <c r="I634" s="2" t="s">
        <v>1324</v>
      </c>
    </row>
    <row r="635" ht="22.5" customHeight="1">
      <c r="A635" s="2">
        <v>634.0</v>
      </c>
      <c r="B635" s="2" t="s">
        <v>1323</v>
      </c>
      <c r="C635" s="2" t="s">
        <v>278</v>
      </c>
      <c r="D635" s="2">
        <v>686.0</v>
      </c>
      <c r="E635" s="5">
        <v>46115.0</v>
      </c>
      <c r="F635" s="2" t="s">
        <v>279</v>
      </c>
      <c r="G635" s="8">
        <v>157877.0</v>
      </c>
      <c r="H635" s="8">
        <v>20090.0</v>
      </c>
      <c r="I635" s="2" t="s">
        <v>1324</v>
      </c>
    </row>
    <row r="636" ht="22.5" customHeight="1">
      <c r="A636" s="2">
        <v>635.0</v>
      </c>
      <c r="B636" s="2" t="s">
        <v>1325</v>
      </c>
      <c r="C636" s="2" t="s">
        <v>276</v>
      </c>
      <c r="D636" s="2">
        <v>397.0</v>
      </c>
      <c r="E636" s="5">
        <v>46057.0</v>
      </c>
      <c r="F636" s="5">
        <v>46115.0</v>
      </c>
      <c r="G636" s="8" t="s">
        <v>626</v>
      </c>
      <c r="H636" s="8" t="s">
        <v>1326</v>
      </c>
      <c r="I636" s="2" t="s">
        <v>1327</v>
      </c>
    </row>
    <row r="637" ht="22.5" customHeight="1">
      <c r="A637" s="2">
        <v>636.0</v>
      </c>
      <c r="B637" s="2" t="s">
        <v>1325</v>
      </c>
      <c r="C637" s="2" t="s">
        <v>317</v>
      </c>
      <c r="D637" s="2">
        <v>257.0</v>
      </c>
      <c r="E637" s="5">
        <v>46148.0</v>
      </c>
      <c r="F637" s="5">
        <v>46027.0</v>
      </c>
      <c r="G637" s="8" t="s">
        <v>1328</v>
      </c>
      <c r="H637" s="8" t="s">
        <v>1329</v>
      </c>
      <c r="I637" s="2" t="s">
        <v>1330</v>
      </c>
    </row>
    <row r="638" ht="22.5" customHeight="1">
      <c r="A638" s="2">
        <v>637.0</v>
      </c>
      <c r="B638" s="2" t="s">
        <v>1325</v>
      </c>
      <c r="C638" s="2" t="s">
        <v>272</v>
      </c>
      <c r="D638" s="2">
        <v>595.0</v>
      </c>
      <c r="E638" s="5">
        <v>46236.0</v>
      </c>
      <c r="F638" s="5">
        <v>46144.0</v>
      </c>
      <c r="G638" s="2">
        <v>1666.0</v>
      </c>
      <c r="H638" s="8" t="s">
        <v>1331</v>
      </c>
      <c r="I638" s="2" t="s">
        <v>1332</v>
      </c>
    </row>
    <row r="639" ht="22.5" customHeight="1">
      <c r="A639" s="2">
        <v>638.0</v>
      </c>
      <c r="B639" s="2" t="s">
        <v>1333</v>
      </c>
      <c r="C639" s="2" t="s">
        <v>317</v>
      </c>
      <c r="D639" s="2">
        <v>608.0</v>
      </c>
      <c r="E639" s="5">
        <v>46148.0</v>
      </c>
      <c r="F639" s="5">
        <v>46027.0</v>
      </c>
      <c r="G639" s="2">
        <v>3952.0</v>
      </c>
      <c r="H639" s="8">
        <v>438505.0</v>
      </c>
      <c r="I639" s="2" t="s">
        <v>1334</v>
      </c>
    </row>
    <row r="640" ht="22.5" customHeight="1">
      <c r="A640" s="2">
        <v>639.0</v>
      </c>
      <c r="B640" s="2" t="s">
        <v>1333</v>
      </c>
      <c r="C640" s="2" t="s">
        <v>317</v>
      </c>
      <c r="D640" s="2">
        <v>607.0</v>
      </c>
      <c r="E640" s="5">
        <v>46148.0</v>
      </c>
      <c r="F640" s="5">
        <v>46027.0</v>
      </c>
      <c r="G640" s="8">
        <v>747043.0</v>
      </c>
      <c r="H640" s="8">
        <v>436648.0</v>
      </c>
      <c r="I640" s="2" t="s">
        <v>1113</v>
      </c>
    </row>
    <row r="641" ht="22.5" customHeight="1">
      <c r="A641" s="2">
        <v>640.0</v>
      </c>
      <c r="B641" s="2" t="s">
        <v>1333</v>
      </c>
      <c r="C641" s="2" t="s">
        <v>317</v>
      </c>
      <c r="D641" s="2">
        <v>608.0</v>
      </c>
      <c r="E641" s="5">
        <v>46148.0</v>
      </c>
      <c r="F641" s="5">
        <v>46027.0</v>
      </c>
      <c r="G641" s="2">
        <v>3952.0</v>
      </c>
      <c r="H641" s="8">
        <v>438505.0</v>
      </c>
      <c r="I641" s="2" t="s">
        <v>1334</v>
      </c>
    </row>
    <row r="642" ht="22.5" customHeight="1">
      <c r="A642" s="2">
        <v>641.0</v>
      </c>
      <c r="B642" s="2" t="s">
        <v>1335</v>
      </c>
      <c r="C642" s="2" t="s">
        <v>272</v>
      </c>
      <c r="D642" s="2">
        <v>3666.0</v>
      </c>
      <c r="E642" s="5">
        <v>46236.0</v>
      </c>
      <c r="F642" s="5">
        <v>46144.0</v>
      </c>
      <c r="G642" s="2" t="s">
        <v>1336</v>
      </c>
      <c r="H642" s="7">
        <v>9165.0</v>
      </c>
      <c r="I642" s="8" t="s">
        <v>1337</v>
      </c>
    </row>
    <row r="643" ht="22.5" customHeight="1">
      <c r="A643" s="2">
        <v>642.0</v>
      </c>
      <c r="B643" s="2" t="s">
        <v>1338</v>
      </c>
      <c r="C643" s="2" t="s">
        <v>317</v>
      </c>
      <c r="D643" s="2">
        <v>696.0</v>
      </c>
      <c r="E643" s="5">
        <v>46148.0</v>
      </c>
      <c r="F643" s="5">
        <v>46027.0</v>
      </c>
      <c r="G643" s="2">
        <v>4524.0</v>
      </c>
      <c r="H643" s="8">
        <v>602438.0</v>
      </c>
      <c r="I643" s="2" t="s">
        <v>741</v>
      </c>
    </row>
    <row r="644" ht="22.5" customHeight="1">
      <c r="A644" s="2">
        <v>643.0</v>
      </c>
      <c r="B644" s="2" t="s">
        <v>1338</v>
      </c>
      <c r="C644" s="2" t="s">
        <v>276</v>
      </c>
      <c r="D644" s="2">
        <v>1077.0</v>
      </c>
      <c r="E644" s="5">
        <v>46057.0</v>
      </c>
      <c r="F644" s="5">
        <v>46115.0</v>
      </c>
      <c r="G644" s="8">
        <v>958123.0</v>
      </c>
      <c r="H644" s="8">
        <v>643407.0</v>
      </c>
      <c r="I644" s="2" t="s">
        <v>1339</v>
      </c>
    </row>
    <row r="645" ht="22.5" customHeight="1">
      <c r="A645" s="2">
        <v>644.0</v>
      </c>
      <c r="B645" s="2" t="s">
        <v>1340</v>
      </c>
      <c r="C645" s="2" t="s">
        <v>272</v>
      </c>
      <c r="D645" s="2">
        <v>1136.0</v>
      </c>
      <c r="E645" s="5">
        <v>46236.0</v>
      </c>
      <c r="F645" s="5">
        <v>46144.0</v>
      </c>
      <c r="G645" s="8">
        <v>467725.0</v>
      </c>
      <c r="H645" s="7">
        <v>2840.0</v>
      </c>
      <c r="I645" s="2" t="s">
        <v>1341</v>
      </c>
    </row>
    <row r="646" ht="22.5" customHeight="1">
      <c r="A646" s="2">
        <v>645.0</v>
      </c>
      <c r="B646" s="2" t="s">
        <v>1340</v>
      </c>
      <c r="C646" s="2" t="s">
        <v>276</v>
      </c>
      <c r="D646" s="2">
        <v>757.0</v>
      </c>
      <c r="E646" s="5">
        <v>46057.0</v>
      </c>
      <c r="F646" s="5">
        <v>46115.0</v>
      </c>
      <c r="G646" s="8">
        <v>467237.0</v>
      </c>
      <c r="H646" s="8">
        <v>246023.0</v>
      </c>
      <c r="I646" s="2" t="s">
        <v>1342</v>
      </c>
    </row>
    <row r="647" ht="22.5" customHeight="1">
      <c r="A647" s="2">
        <v>646.0</v>
      </c>
      <c r="B647" s="2" t="s">
        <v>1340</v>
      </c>
      <c r="C647" s="2" t="s">
        <v>272</v>
      </c>
      <c r="D647" s="2">
        <v>1136.0</v>
      </c>
      <c r="E647" s="5">
        <v>46236.0</v>
      </c>
      <c r="F647" s="5">
        <v>46144.0</v>
      </c>
      <c r="G647" s="8">
        <v>467725.0</v>
      </c>
      <c r="H647" s="7">
        <v>2840.0</v>
      </c>
      <c r="I647" s="2" t="s">
        <v>1341</v>
      </c>
    </row>
    <row r="648" ht="22.5" customHeight="1">
      <c r="A648" s="2">
        <v>647.0</v>
      </c>
      <c r="B648" s="2" t="s">
        <v>1343</v>
      </c>
      <c r="C648" s="2" t="s">
        <v>317</v>
      </c>
      <c r="D648" s="2">
        <v>1071.0</v>
      </c>
      <c r="E648" s="5">
        <v>46148.0</v>
      </c>
      <c r="F648" s="5">
        <v>46027.0</v>
      </c>
      <c r="G648" s="8">
        <v>1848615.0</v>
      </c>
      <c r="H648" s="8">
        <v>1300996.0</v>
      </c>
      <c r="I648" s="8" t="s">
        <v>1344</v>
      </c>
    </row>
    <row r="649" ht="22.5" customHeight="1">
      <c r="A649" s="2">
        <v>648.0</v>
      </c>
      <c r="B649" s="2" t="s">
        <v>1343</v>
      </c>
      <c r="C649" s="2" t="s">
        <v>272</v>
      </c>
      <c r="D649" s="2">
        <v>2488.0</v>
      </c>
      <c r="E649" s="5">
        <v>46236.0</v>
      </c>
      <c r="F649" s="5">
        <v>46144.0</v>
      </c>
      <c r="G649" s="8">
        <v>1850411.0</v>
      </c>
      <c r="H649" s="7">
        <v>6220.0</v>
      </c>
      <c r="I649" s="2" t="s">
        <v>1345</v>
      </c>
    </row>
    <row r="650" ht="22.5" customHeight="1">
      <c r="A650" s="2">
        <v>649.0</v>
      </c>
      <c r="B650" s="2" t="s">
        <v>1343</v>
      </c>
      <c r="C650" s="2" t="s">
        <v>276</v>
      </c>
      <c r="D650" s="2">
        <v>1659.0</v>
      </c>
      <c r="E650" s="5">
        <v>46057.0</v>
      </c>
      <c r="F650" s="5">
        <v>46115.0</v>
      </c>
      <c r="G650" s="8">
        <v>1850898.0</v>
      </c>
      <c r="H650" s="8">
        <v>1366161.0</v>
      </c>
      <c r="I650" s="8" t="s">
        <v>1346</v>
      </c>
    </row>
    <row r="651" ht="22.5" customHeight="1">
      <c r="A651" s="2">
        <v>650.0</v>
      </c>
      <c r="B651" s="2" t="s">
        <v>1347</v>
      </c>
      <c r="C651" s="2" t="s">
        <v>291</v>
      </c>
      <c r="D651" s="2">
        <v>1009.0</v>
      </c>
      <c r="E651" s="5">
        <v>46240.0</v>
      </c>
      <c r="F651" s="5">
        <v>46027.0</v>
      </c>
      <c r="G651" s="8">
        <v>1812002.0</v>
      </c>
      <c r="H651" s="8">
        <v>1185457.0</v>
      </c>
      <c r="I651" s="8" t="s">
        <v>1348</v>
      </c>
    </row>
    <row r="652" ht="22.5" customHeight="1">
      <c r="A652" s="2">
        <v>651.0</v>
      </c>
      <c r="B652" s="2" t="s">
        <v>1349</v>
      </c>
      <c r="C652" s="2" t="s">
        <v>270</v>
      </c>
      <c r="D652" s="2">
        <v>803.0</v>
      </c>
      <c r="E652" s="5">
        <v>46061.0</v>
      </c>
      <c r="F652" s="5">
        <v>46059.0</v>
      </c>
      <c r="G652" s="8">
        <v>1710950.0</v>
      </c>
      <c r="H652" s="8">
        <v>1124370.0</v>
      </c>
      <c r="I652" s="2">
        <v>1606.0</v>
      </c>
    </row>
    <row r="653" ht="22.5" customHeight="1">
      <c r="A653" s="2">
        <v>652.0</v>
      </c>
      <c r="B653" s="2" t="s">
        <v>1349</v>
      </c>
      <c r="C653" s="2" t="s">
        <v>278</v>
      </c>
      <c r="D653" s="2">
        <v>1938.0</v>
      </c>
      <c r="E653" s="5">
        <v>46115.0</v>
      </c>
      <c r="F653" s="2" t="s">
        <v>279</v>
      </c>
      <c r="G653" s="8">
        <v>1712656.0</v>
      </c>
      <c r="H653" s="8">
        <v>1323334.0</v>
      </c>
      <c r="I653" s="8" t="s">
        <v>1350</v>
      </c>
    </row>
    <row r="654" ht="22.5" customHeight="1">
      <c r="A654" s="2">
        <v>653.0</v>
      </c>
      <c r="B654" s="2" t="s">
        <v>1349</v>
      </c>
      <c r="C654" s="2" t="s">
        <v>278</v>
      </c>
      <c r="D654" s="2">
        <v>1937.0</v>
      </c>
      <c r="E654" s="5">
        <v>46115.0</v>
      </c>
      <c r="F654" s="2" t="s">
        <v>279</v>
      </c>
      <c r="G654" s="8">
        <v>1711376.0</v>
      </c>
      <c r="H654" s="2" t="s">
        <v>1351</v>
      </c>
      <c r="I654" s="2" t="s">
        <v>1352</v>
      </c>
    </row>
    <row r="655" ht="22.5" customHeight="1">
      <c r="A655" s="2">
        <v>654.0</v>
      </c>
      <c r="B655" s="2" t="s">
        <v>1353</v>
      </c>
      <c r="C655" s="2" t="s">
        <v>291</v>
      </c>
      <c r="D655" s="2">
        <v>8369.0</v>
      </c>
      <c r="E655" s="5">
        <v>46240.0</v>
      </c>
      <c r="F655" s="5">
        <v>46027.0</v>
      </c>
      <c r="G655" s="2" t="s">
        <v>1354</v>
      </c>
      <c r="H655" s="2" t="s">
        <v>1355</v>
      </c>
      <c r="I655" s="2" t="s">
        <v>1356</v>
      </c>
    </row>
    <row r="656" ht="22.5" customHeight="1">
      <c r="A656" s="2">
        <v>655.0</v>
      </c>
      <c r="B656" s="2" t="s">
        <v>1353</v>
      </c>
      <c r="C656" s="2" t="s">
        <v>291</v>
      </c>
      <c r="D656" s="2">
        <v>8369.0</v>
      </c>
      <c r="E656" s="5">
        <v>46240.0</v>
      </c>
      <c r="F656" s="5">
        <v>46027.0</v>
      </c>
      <c r="G656" s="2" t="s">
        <v>1354</v>
      </c>
      <c r="H656" s="2" t="s">
        <v>1355</v>
      </c>
      <c r="I656" s="2" t="s">
        <v>1356</v>
      </c>
    </row>
    <row r="657" ht="22.5" customHeight="1">
      <c r="A657" s="2">
        <v>656.0</v>
      </c>
      <c r="B657" s="2" t="s">
        <v>1353</v>
      </c>
      <c r="C657" s="2" t="s">
        <v>291</v>
      </c>
      <c r="D657" s="2">
        <v>8370.0</v>
      </c>
      <c r="E657" s="5">
        <v>46240.0</v>
      </c>
      <c r="F657" s="5">
        <v>46027.0</v>
      </c>
      <c r="G657" s="2">
        <v>56916.0</v>
      </c>
      <c r="H657" s="7">
        <v>42687.0</v>
      </c>
      <c r="I657" s="2">
        <v>14229.0</v>
      </c>
    </row>
    <row r="658" ht="22.5" customHeight="1">
      <c r="A658" s="2">
        <v>657.0</v>
      </c>
      <c r="B658" s="2" t="s">
        <v>1357</v>
      </c>
      <c r="C658" s="2" t="s">
        <v>287</v>
      </c>
      <c r="D658" s="2">
        <v>12139.0</v>
      </c>
      <c r="E658" s="5">
        <v>46152.0</v>
      </c>
      <c r="F658" s="5">
        <v>46241.0</v>
      </c>
      <c r="G658" s="2" t="s">
        <v>1358</v>
      </c>
      <c r="H658" s="2" t="s">
        <v>1359</v>
      </c>
      <c r="I658" s="2" t="s">
        <v>1360</v>
      </c>
    </row>
    <row r="659" ht="22.5" customHeight="1">
      <c r="A659" s="2">
        <v>658.0</v>
      </c>
      <c r="B659" s="2" t="s">
        <v>1361</v>
      </c>
      <c r="C659" s="2" t="s">
        <v>272</v>
      </c>
      <c r="D659" s="2">
        <v>6924.0</v>
      </c>
      <c r="E659" s="5">
        <v>46236.0</v>
      </c>
      <c r="F659" s="5">
        <v>46144.0</v>
      </c>
      <c r="G659" s="2" t="s">
        <v>1362</v>
      </c>
      <c r="H659" s="7">
        <v>17310.0</v>
      </c>
      <c r="I659" s="8">
        <v>64682.0</v>
      </c>
    </row>
    <row r="660" ht="22.5" customHeight="1">
      <c r="A660" s="2">
        <v>659.0</v>
      </c>
      <c r="B660" s="2" t="s">
        <v>1361</v>
      </c>
      <c r="C660" s="2" t="s">
        <v>272</v>
      </c>
      <c r="D660" s="2">
        <v>6924.0</v>
      </c>
      <c r="E660" s="5">
        <v>46236.0</v>
      </c>
      <c r="F660" s="5">
        <v>46144.0</v>
      </c>
      <c r="G660" s="2" t="s">
        <v>1362</v>
      </c>
      <c r="H660" s="7">
        <v>17310.0</v>
      </c>
      <c r="I660" s="8">
        <v>64682.0</v>
      </c>
    </row>
    <row r="661" ht="22.5" customHeight="1">
      <c r="A661" s="2">
        <v>660.0</v>
      </c>
      <c r="B661" s="2" t="s">
        <v>1361</v>
      </c>
      <c r="C661" s="2" t="s">
        <v>272</v>
      </c>
      <c r="D661" s="2">
        <v>6925.0</v>
      </c>
      <c r="E661" s="5">
        <v>46236.0</v>
      </c>
      <c r="F661" s="5">
        <v>46144.0</v>
      </c>
      <c r="G661" s="2">
        <v>19390.0</v>
      </c>
      <c r="H661" s="2" t="s">
        <v>1363</v>
      </c>
      <c r="I661" s="8">
        <v>64771.0</v>
      </c>
    </row>
    <row r="662" ht="22.5" customHeight="1">
      <c r="A662" s="2">
        <v>661.0</v>
      </c>
      <c r="B662" s="2" t="s">
        <v>1364</v>
      </c>
      <c r="C662" s="2" t="s">
        <v>291</v>
      </c>
      <c r="D662" s="2">
        <v>1135.0</v>
      </c>
      <c r="E662" s="5">
        <v>46240.0</v>
      </c>
      <c r="F662" s="5">
        <v>46027.0</v>
      </c>
      <c r="G662" s="2">
        <v>7718.0</v>
      </c>
      <c r="H662" s="8">
        <v>1420186.0</v>
      </c>
      <c r="I662" s="8">
        <v>10714.0</v>
      </c>
    </row>
    <row r="663" ht="22.5" customHeight="1">
      <c r="A663" s="2">
        <v>662.0</v>
      </c>
      <c r="B663" s="2" t="s">
        <v>1365</v>
      </c>
      <c r="C663" s="2" t="s">
        <v>272</v>
      </c>
      <c r="D663" s="2">
        <v>3567.0</v>
      </c>
      <c r="E663" s="5">
        <v>46236.0</v>
      </c>
      <c r="F663" s="5">
        <v>46144.0</v>
      </c>
      <c r="G663" s="8">
        <v>2953869.0</v>
      </c>
      <c r="H663" s="8">
        <v>2563029.0</v>
      </c>
      <c r="I663" s="8" t="s">
        <v>1366</v>
      </c>
    </row>
    <row r="664" ht="22.5" customHeight="1">
      <c r="A664" s="2">
        <v>663.0</v>
      </c>
      <c r="B664" s="2" t="s">
        <v>1365</v>
      </c>
      <c r="C664" s="2" t="s">
        <v>272</v>
      </c>
      <c r="D664" s="2">
        <v>3567.0</v>
      </c>
      <c r="E664" s="5">
        <v>46236.0</v>
      </c>
      <c r="F664" s="5">
        <v>46144.0</v>
      </c>
      <c r="G664" s="8">
        <v>2953869.0</v>
      </c>
      <c r="H664" s="8">
        <v>2563029.0</v>
      </c>
      <c r="I664" s="8" t="s">
        <v>1366</v>
      </c>
    </row>
    <row r="665" ht="22.5" customHeight="1">
      <c r="A665" s="2">
        <v>664.0</v>
      </c>
      <c r="B665" s="2" t="s">
        <v>1367</v>
      </c>
      <c r="C665" s="2" t="s">
        <v>276</v>
      </c>
      <c r="D665" s="2">
        <v>550.0</v>
      </c>
      <c r="E665" s="5">
        <v>46057.0</v>
      </c>
      <c r="F665" s="5">
        <v>46115.0</v>
      </c>
      <c r="G665" s="2">
        <v>2310.0</v>
      </c>
      <c r="H665" s="7">
        <v>1870.0</v>
      </c>
      <c r="I665" s="2">
        <v>440.0</v>
      </c>
    </row>
    <row r="666" ht="22.5" customHeight="1">
      <c r="A666" s="2">
        <v>665.0</v>
      </c>
      <c r="B666" s="2" t="s">
        <v>1367</v>
      </c>
      <c r="C666" s="2" t="s">
        <v>276</v>
      </c>
      <c r="D666" s="2">
        <v>550.0</v>
      </c>
      <c r="E666" s="5">
        <v>46057.0</v>
      </c>
      <c r="F666" s="5">
        <v>46115.0</v>
      </c>
      <c r="G666" s="2">
        <v>2310.0</v>
      </c>
      <c r="H666" s="7">
        <v>1870.0</v>
      </c>
      <c r="I666" s="2">
        <v>440.0</v>
      </c>
    </row>
    <row r="667" ht="22.5" customHeight="1">
      <c r="A667" s="2">
        <v>666.0</v>
      </c>
      <c r="B667" s="2" t="s">
        <v>1367</v>
      </c>
      <c r="C667" s="2" t="s">
        <v>272</v>
      </c>
      <c r="D667" s="2">
        <v>825.0</v>
      </c>
      <c r="E667" s="5">
        <v>46236.0</v>
      </c>
      <c r="F667" s="5">
        <v>46144.0</v>
      </c>
      <c r="G667" s="2">
        <v>2310.0</v>
      </c>
      <c r="H667" s="8">
        <v>59292.0</v>
      </c>
      <c r="I667" s="2" t="s">
        <v>1368</v>
      </c>
    </row>
    <row r="668" ht="22.5" customHeight="1">
      <c r="A668" s="2">
        <v>667.0</v>
      </c>
      <c r="B668" s="2" t="s">
        <v>1369</v>
      </c>
      <c r="C668" s="2" t="s">
        <v>276</v>
      </c>
      <c r="D668" s="2">
        <v>701.0</v>
      </c>
      <c r="E668" s="5">
        <v>46057.0</v>
      </c>
      <c r="F668" s="5">
        <v>46115.0</v>
      </c>
      <c r="G668" s="8">
        <v>381346.0</v>
      </c>
      <c r="H668" s="8">
        <v>176504.0</v>
      </c>
      <c r="I668" s="2" t="s">
        <v>1370</v>
      </c>
    </row>
    <row r="669" ht="22.5" customHeight="1">
      <c r="A669" s="2">
        <v>668.0</v>
      </c>
      <c r="B669" s="2" t="s">
        <v>1369</v>
      </c>
      <c r="C669" s="2" t="s">
        <v>276</v>
      </c>
      <c r="D669" s="2">
        <v>702.0</v>
      </c>
      <c r="E669" s="5">
        <v>46057.0</v>
      </c>
      <c r="F669" s="5">
        <v>46115.0</v>
      </c>
      <c r="G669" s="8">
        <v>382867.0</v>
      </c>
      <c r="H669" s="8">
        <v>177722.0</v>
      </c>
      <c r="I669" s="2" t="s">
        <v>675</v>
      </c>
    </row>
    <row r="670" ht="22.5" customHeight="1">
      <c r="A670" s="2">
        <v>669.0</v>
      </c>
      <c r="B670" s="2" t="s">
        <v>1371</v>
      </c>
      <c r="C670" s="2" t="s">
        <v>272</v>
      </c>
      <c r="D670" s="2">
        <v>12624.0</v>
      </c>
      <c r="E670" s="5">
        <v>46236.0</v>
      </c>
      <c r="F670" s="5">
        <v>46144.0</v>
      </c>
      <c r="G670" s="2" t="s">
        <v>1372</v>
      </c>
      <c r="H670" s="7">
        <v>31560.0</v>
      </c>
      <c r="I670" s="8">
        <v>689246.0</v>
      </c>
    </row>
    <row r="671" ht="22.5" customHeight="1">
      <c r="A671" s="2">
        <v>670.0</v>
      </c>
      <c r="B671" s="2" t="s">
        <v>1371</v>
      </c>
      <c r="C671" s="2" t="s">
        <v>272</v>
      </c>
      <c r="D671" s="2">
        <v>12625.0</v>
      </c>
      <c r="E671" s="5">
        <v>46236.0</v>
      </c>
      <c r="F671" s="5">
        <v>46144.0</v>
      </c>
      <c r="G671" s="2">
        <v>35350.0</v>
      </c>
      <c r="H671" s="2" t="s">
        <v>1373</v>
      </c>
      <c r="I671" s="8">
        <v>689335.0</v>
      </c>
    </row>
    <row r="672" ht="22.5" customHeight="1">
      <c r="A672" s="2">
        <v>671.0</v>
      </c>
      <c r="B672" s="2" t="s">
        <v>1374</v>
      </c>
      <c r="C672" s="2" t="s">
        <v>276</v>
      </c>
      <c r="D672" s="2">
        <v>2267.0</v>
      </c>
      <c r="E672" s="5">
        <v>46057.0</v>
      </c>
      <c r="F672" s="5">
        <v>46115.0</v>
      </c>
      <c r="G672" s="8">
        <v>2783605.0</v>
      </c>
      <c r="H672" s="8">
        <v>2121177.0</v>
      </c>
      <c r="I672" s="8" t="s">
        <v>1375</v>
      </c>
    </row>
    <row r="673" ht="22.5" customHeight="1">
      <c r="A673" s="2">
        <v>672.0</v>
      </c>
      <c r="B673" s="2" t="s">
        <v>1374</v>
      </c>
      <c r="C673" s="2" t="s">
        <v>272</v>
      </c>
      <c r="D673" s="2">
        <v>3400.0</v>
      </c>
      <c r="E673" s="5">
        <v>46236.0</v>
      </c>
      <c r="F673" s="5">
        <v>46144.0</v>
      </c>
      <c r="G673" s="2">
        <v>9520.0</v>
      </c>
      <c r="H673" s="7">
        <v>8500.0</v>
      </c>
      <c r="I673" s="2">
        <v>1020.0</v>
      </c>
    </row>
    <row r="674" ht="22.5" customHeight="1">
      <c r="A674" s="2">
        <v>673.0</v>
      </c>
      <c r="B674" s="2" t="s">
        <v>1376</v>
      </c>
      <c r="C674" s="2" t="s">
        <v>276</v>
      </c>
      <c r="D674" s="2">
        <v>639.0</v>
      </c>
      <c r="E674" s="5">
        <v>46057.0</v>
      </c>
      <c r="F674" s="5">
        <v>46115.0</v>
      </c>
      <c r="G674" s="8">
        <v>286199.0</v>
      </c>
      <c r="H674" s="8">
        <v>99500.0</v>
      </c>
      <c r="I674" s="2" t="s">
        <v>1377</v>
      </c>
    </row>
    <row r="675" ht="22.5" customHeight="1">
      <c r="A675" s="2">
        <v>674.0</v>
      </c>
      <c r="B675" s="2" t="s">
        <v>1376</v>
      </c>
      <c r="C675" s="2" t="s">
        <v>272</v>
      </c>
      <c r="D675" s="2">
        <v>957.0</v>
      </c>
      <c r="E675" s="5">
        <v>46236.0</v>
      </c>
      <c r="F675" s="5">
        <v>46144.0</v>
      </c>
      <c r="G675" s="8">
        <v>284677.0</v>
      </c>
      <c r="H675" s="8">
        <v>179822.0</v>
      </c>
      <c r="I675" s="2" t="s">
        <v>1378</v>
      </c>
    </row>
    <row r="676" ht="22.5" customHeight="1">
      <c r="A676" s="2">
        <v>675.0</v>
      </c>
      <c r="B676" s="2" t="s">
        <v>1379</v>
      </c>
      <c r="C676" s="2" t="s">
        <v>272</v>
      </c>
      <c r="D676" s="2">
        <v>6471.0</v>
      </c>
      <c r="E676" s="5">
        <v>46236.0</v>
      </c>
      <c r="F676" s="5">
        <v>46144.0</v>
      </c>
      <c r="G676" s="2" t="s">
        <v>1380</v>
      </c>
      <c r="H676" s="2" t="s">
        <v>1381</v>
      </c>
      <c r="I676" s="8">
        <v>15036.0</v>
      </c>
    </row>
    <row r="677" ht="22.5" customHeight="1">
      <c r="A677" s="2">
        <v>676.0</v>
      </c>
      <c r="B677" s="2" t="s">
        <v>1382</v>
      </c>
      <c r="C677" s="2" t="s">
        <v>272</v>
      </c>
      <c r="D677" s="2">
        <v>199.0</v>
      </c>
      <c r="E677" s="5">
        <v>46236.0</v>
      </c>
      <c r="F677" s="5">
        <v>46144.0</v>
      </c>
      <c r="G677" s="2" t="s">
        <v>1383</v>
      </c>
      <c r="H677" s="2" t="s">
        <v>1384</v>
      </c>
      <c r="I677" s="2" t="s">
        <v>1385</v>
      </c>
    </row>
    <row r="678" ht="22.5" customHeight="1">
      <c r="A678" s="2">
        <v>677.0</v>
      </c>
      <c r="B678" s="2" t="s">
        <v>1382</v>
      </c>
      <c r="C678" s="2" t="s">
        <v>317</v>
      </c>
      <c r="D678" s="2">
        <v>85.0</v>
      </c>
      <c r="E678" s="5">
        <v>46148.0</v>
      </c>
      <c r="F678" s="5">
        <v>46027.0</v>
      </c>
      <c r="G678" s="2" t="s">
        <v>1386</v>
      </c>
      <c r="H678" s="2" t="s">
        <v>1387</v>
      </c>
      <c r="I678" s="2">
        <v>119.0</v>
      </c>
    </row>
    <row r="679" ht="22.5" customHeight="1">
      <c r="A679" s="2">
        <v>678.0</v>
      </c>
      <c r="B679" s="2" t="s">
        <v>1382</v>
      </c>
      <c r="C679" s="2" t="s">
        <v>276</v>
      </c>
      <c r="D679" s="2">
        <v>133.0</v>
      </c>
      <c r="E679" s="5">
        <v>46057.0</v>
      </c>
      <c r="F679" s="5">
        <v>46115.0</v>
      </c>
      <c r="G679" s="2" t="s">
        <v>1388</v>
      </c>
      <c r="H679" s="2" t="s">
        <v>1389</v>
      </c>
      <c r="I679" s="2" t="s">
        <v>1390</v>
      </c>
    </row>
    <row r="680" ht="22.5" customHeight="1">
      <c r="A680" s="2">
        <v>679.0</v>
      </c>
      <c r="B680" s="2" t="s">
        <v>1391</v>
      </c>
      <c r="C680" s="2" t="s">
        <v>276</v>
      </c>
      <c r="D680" s="2">
        <v>1088.0</v>
      </c>
      <c r="E680" s="5">
        <v>46057.0</v>
      </c>
      <c r="F680" s="5">
        <v>46115.0</v>
      </c>
      <c r="G680" s="8">
        <v>974986.0</v>
      </c>
      <c r="H680" s="8">
        <v>657105.0</v>
      </c>
      <c r="I680" s="2" t="s">
        <v>1392</v>
      </c>
    </row>
    <row r="681" ht="22.5" customHeight="1">
      <c r="A681" s="2">
        <v>680.0</v>
      </c>
      <c r="B681" s="2" t="s">
        <v>1391</v>
      </c>
      <c r="C681" s="2" t="s">
        <v>272</v>
      </c>
      <c r="D681" s="2">
        <v>1631.0</v>
      </c>
      <c r="E681" s="5">
        <v>46236.0</v>
      </c>
      <c r="F681" s="5">
        <v>46144.0</v>
      </c>
      <c r="G681" s="8">
        <v>973951.0</v>
      </c>
      <c r="H681" s="8">
        <v>795256.0</v>
      </c>
      <c r="I681" s="2" t="s">
        <v>1393</v>
      </c>
    </row>
    <row r="682" ht="22.5" customHeight="1">
      <c r="A682" s="2">
        <v>681.0</v>
      </c>
      <c r="B682" s="2" t="s">
        <v>1394</v>
      </c>
      <c r="C682" s="2" t="s">
        <v>272</v>
      </c>
      <c r="D682" s="2">
        <v>1872.0</v>
      </c>
      <c r="E682" s="5">
        <v>46236.0</v>
      </c>
      <c r="F682" s="5">
        <v>46144.0</v>
      </c>
      <c r="G682" s="8">
        <v>1220429.0</v>
      </c>
      <c r="H682" s="7">
        <v>4680.0</v>
      </c>
      <c r="I682" s="2" t="s">
        <v>675</v>
      </c>
    </row>
    <row r="683" ht="22.5" customHeight="1">
      <c r="A683" s="2">
        <v>682.0</v>
      </c>
      <c r="B683" s="2" t="s">
        <v>1394</v>
      </c>
      <c r="C683" s="2" t="s">
        <v>272</v>
      </c>
      <c r="D683" s="2">
        <v>1872.0</v>
      </c>
      <c r="E683" s="5">
        <v>46236.0</v>
      </c>
      <c r="F683" s="5">
        <v>46144.0</v>
      </c>
      <c r="G683" s="8">
        <v>1220429.0</v>
      </c>
      <c r="H683" s="7">
        <v>4680.0</v>
      </c>
      <c r="I683" s="2" t="s">
        <v>675</v>
      </c>
    </row>
    <row r="684" ht="22.5" customHeight="1">
      <c r="A684" s="2">
        <v>683.0</v>
      </c>
      <c r="B684" s="2" t="s">
        <v>1395</v>
      </c>
      <c r="C684" s="2" t="s">
        <v>311</v>
      </c>
      <c r="D684" s="2">
        <v>1702.0</v>
      </c>
      <c r="E684" s="5">
        <v>46057.0</v>
      </c>
      <c r="F684" s="5">
        <v>46084.0</v>
      </c>
      <c r="G684" s="8">
        <v>1916885.0</v>
      </c>
      <c r="H684" s="8">
        <v>1357395.0</v>
      </c>
      <c r="I684" s="8" t="s">
        <v>1396</v>
      </c>
    </row>
    <row r="685" ht="22.5" customHeight="1">
      <c r="A685" s="2">
        <v>684.0</v>
      </c>
      <c r="B685" s="2" t="s">
        <v>1397</v>
      </c>
      <c r="C685" s="2" t="s">
        <v>270</v>
      </c>
      <c r="D685" s="2">
        <v>28955.0</v>
      </c>
      <c r="E685" s="5">
        <v>46061.0</v>
      </c>
      <c r="F685" s="5">
        <v>46059.0</v>
      </c>
      <c r="G685" s="2">
        <v>237431.0</v>
      </c>
      <c r="H685" s="7">
        <v>179521.0</v>
      </c>
      <c r="I685" s="2">
        <v>57910.0</v>
      </c>
    </row>
    <row r="686" ht="22.5" customHeight="1">
      <c r="A686" s="2">
        <v>685.0</v>
      </c>
      <c r="B686" s="2" t="s">
        <v>1398</v>
      </c>
      <c r="C686" s="2" t="s">
        <v>272</v>
      </c>
      <c r="D686" s="2">
        <v>9883.0</v>
      </c>
      <c r="E686" s="5">
        <v>46236.0</v>
      </c>
      <c r="F686" s="5">
        <v>46144.0</v>
      </c>
      <c r="G686" s="2" t="s">
        <v>1399</v>
      </c>
      <c r="H686" s="2" t="s">
        <v>1400</v>
      </c>
      <c r="I686" s="8">
        <v>388864.0</v>
      </c>
    </row>
    <row r="687" ht="22.5" customHeight="1">
      <c r="A687" s="2">
        <v>686.0</v>
      </c>
      <c r="B687" s="2" t="s">
        <v>1398</v>
      </c>
      <c r="C687" s="2" t="s">
        <v>276</v>
      </c>
      <c r="D687" s="2">
        <v>6588.0</v>
      </c>
      <c r="E687" s="5">
        <v>46057.0</v>
      </c>
      <c r="F687" s="5">
        <v>46115.0</v>
      </c>
      <c r="G687" s="2" t="s">
        <v>1401</v>
      </c>
      <c r="H687" s="2" t="s">
        <v>1402</v>
      </c>
      <c r="I687" s="8">
        <v>1230960.0</v>
      </c>
    </row>
    <row r="688" ht="22.5" customHeight="1">
      <c r="A688" s="2">
        <v>687.0</v>
      </c>
      <c r="B688" s="2" t="s">
        <v>1398</v>
      </c>
      <c r="C688" s="2" t="s">
        <v>276</v>
      </c>
      <c r="D688" s="2">
        <v>6589.0</v>
      </c>
      <c r="E688" s="5">
        <v>46057.0</v>
      </c>
      <c r="F688" s="5">
        <v>46115.0</v>
      </c>
      <c r="G688" s="2" t="s">
        <v>1403</v>
      </c>
      <c r="H688" s="2" t="s">
        <v>1404</v>
      </c>
      <c r="I688" s="8">
        <v>1231266.0</v>
      </c>
    </row>
    <row r="689" ht="22.5" customHeight="1">
      <c r="A689" s="2">
        <v>688.0</v>
      </c>
      <c r="B689" s="2" t="s">
        <v>1405</v>
      </c>
      <c r="C689" s="2" t="s">
        <v>272</v>
      </c>
      <c r="D689" s="2">
        <v>970.0</v>
      </c>
      <c r="E689" s="5">
        <v>46236.0</v>
      </c>
      <c r="F689" s="5">
        <v>46144.0</v>
      </c>
      <c r="G689" s="2">
        <v>2716.0</v>
      </c>
      <c r="H689" s="7">
        <v>2425.0</v>
      </c>
      <c r="I689" s="2">
        <v>291.0</v>
      </c>
    </row>
    <row r="690" ht="22.5" customHeight="1">
      <c r="A690" s="2">
        <v>689.0</v>
      </c>
      <c r="B690" s="2" t="s">
        <v>1405</v>
      </c>
      <c r="C690" s="2" t="s">
        <v>272</v>
      </c>
      <c r="D690" s="2">
        <v>969.0</v>
      </c>
      <c r="E690" s="5">
        <v>46236.0</v>
      </c>
      <c r="F690" s="5">
        <v>46144.0</v>
      </c>
      <c r="G690" s="8">
        <v>296975.0</v>
      </c>
      <c r="H690" s="8">
        <v>190779.0</v>
      </c>
      <c r="I690" s="2" t="s">
        <v>1406</v>
      </c>
    </row>
    <row r="691" ht="22.5" customHeight="1">
      <c r="A691" s="2">
        <v>690.0</v>
      </c>
      <c r="B691" s="2" t="s">
        <v>1407</v>
      </c>
      <c r="C691" s="2" t="s">
        <v>276</v>
      </c>
      <c r="D691" s="2">
        <v>1005.0</v>
      </c>
      <c r="E691" s="5">
        <v>46057.0</v>
      </c>
      <c r="F691" s="5">
        <v>46115.0</v>
      </c>
      <c r="G691" s="2">
        <v>4221.0</v>
      </c>
      <c r="H691" s="7">
        <v>3417.0</v>
      </c>
      <c r="I691" s="2">
        <v>804.0</v>
      </c>
    </row>
    <row r="692" ht="22.5" customHeight="1">
      <c r="A692" s="2">
        <v>691.0</v>
      </c>
      <c r="B692" s="2" t="s">
        <v>1408</v>
      </c>
      <c r="C692" s="2" t="s">
        <v>272</v>
      </c>
      <c r="D692" s="2">
        <v>4285.0</v>
      </c>
      <c r="E692" s="5">
        <v>46236.0</v>
      </c>
      <c r="F692" s="5">
        <v>46144.0</v>
      </c>
      <c r="G692" s="2">
        <v>11998.0</v>
      </c>
      <c r="H692" s="2" t="s">
        <v>1409</v>
      </c>
      <c r="I692" s="8" t="s">
        <v>1410</v>
      </c>
    </row>
    <row r="693" ht="22.5" customHeight="1">
      <c r="A693" s="2">
        <v>692.0</v>
      </c>
      <c r="B693" s="2" t="s">
        <v>1408</v>
      </c>
      <c r="C693" s="2" t="s">
        <v>317</v>
      </c>
      <c r="D693" s="2">
        <v>1846.0</v>
      </c>
      <c r="E693" s="5">
        <v>46148.0</v>
      </c>
      <c r="F693" s="5">
        <v>46027.0</v>
      </c>
      <c r="G693" s="2">
        <v>11999.0</v>
      </c>
      <c r="H693" s="8">
        <v>2744585.0</v>
      </c>
      <c r="I693" s="8">
        <v>249919.0</v>
      </c>
    </row>
    <row r="694" ht="22.5" customHeight="1">
      <c r="A694" s="2">
        <v>693.0</v>
      </c>
      <c r="B694" s="2" t="s">
        <v>1411</v>
      </c>
      <c r="C694" s="2" t="s">
        <v>278</v>
      </c>
      <c r="D694" s="2">
        <v>24809.0</v>
      </c>
      <c r="E694" s="5">
        <v>46115.0</v>
      </c>
      <c r="F694" s="2" t="s">
        <v>279</v>
      </c>
      <c r="G694" s="2" t="s">
        <v>1412</v>
      </c>
      <c r="H694" s="2" t="s">
        <v>1413</v>
      </c>
      <c r="I694" s="2" t="s">
        <v>1414</v>
      </c>
    </row>
    <row r="695" ht="22.5" customHeight="1">
      <c r="A695" s="2">
        <v>694.0</v>
      </c>
      <c r="B695" s="2" t="s">
        <v>1415</v>
      </c>
      <c r="C695" s="2" t="s">
        <v>272</v>
      </c>
      <c r="D695" s="2">
        <v>2463.0</v>
      </c>
      <c r="E695" s="5">
        <v>46236.0</v>
      </c>
      <c r="F695" s="5">
        <v>46144.0</v>
      </c>
      <c r="G695" s="8">
        <v>1824845.0</v>
      </c>
      <c r="H695" s="8">
        <v>1554960.0</v>
      </c>
      <c r="I695" s="2" t="s">
        <v>1416</v>
      </c>
    </row>
    <row r="696" ht="22.5" customHeight="1">
      <c r="A696" s="2">
        <v>695.0</v>
      </c>
      <c r="B696" s="2" t="s">
        <v>1415</v>
      </c>
      <c r="C696" s="2" t="s">
        <v>317</v>
      </c>
      <c r="D696" s="2">
        <v>1061.0</v>
      </c>
      <c r="E696" s="5">
        <v>46148.0</v>
      </c>
      <c r="F696" s="5">
        <v>46027.0</v>
      </c>
      <c r="G696" s="8">
        <v>1824875.0</v>
      </c>
      <c r="H696" s="8">
        <v>1282368.0</v>
      </c>
      <c r="I696" s="8" t="s">
        <v>1417</v>
      </c>
    </row>
    <row r="697" ht="22.5" customHeight="1">
      <c r="A697" s="2">
        <v>696.0</v>
      </c>
      <c r="B697" s="2" t="s">
        <v>1415</v>
      </c>
      <c r="C697" s="2" t="s">
        <v>272</v>
      </c>
      <c r="D697" s="2">
        <v>2464.0</v>
      </c>
      <c r="E697" s="5">
        <v>46236.0</v>
      </c>
      <c r="F697" s="5">
        <v>46144.0</v>
      </c>
      <c r="G697" s="8">
        <v>1825881.0</v>
      </c>
      <c r="H697" s="7">
        <v>6160.0</v>
      </c>
      <c r="I697" s="2" t="s">
        <v>1418</v>
      </c>
    </row>
    <row r="698" ht="22.5" customHeight="1">
      <c r="A698" s="2">
        <v>697.0</v>
      </c>
      <c r="B698" s="2" t="s">
        <v>1419</v>
      </c>
      <c r="C698" s="2" t="s">
        <v>311</v>
      </c>
      <c r="D698" s="2">
        <v>4174.0</v>
      </c>
      <c r="E698" s="5">
        <v>46057.0</v>
      </c>
      <c r="F698" s="5">
        <v>46084.0</v>
      </c>
      <c r="G698" s="2" t="s">
        <v>1420</v>
      </c>
      <c r="H698" s="2" t="s">
        <v>1421</v>
      </c>
      <c r="I698" s="8">
        <v>678044.0</v>
      </c>
    </row>
    <row r="699" ht="22.5" customHeight="1">
      <c r="A699" s="2">
        <v>698.0</v>
      </c>
      <c r="B699" s="2" t="s">
        <v>1419</v>
      </c>
      <c r="C699" s="2" t="s">
        <v>311</v>
      </c>
      <c r="D699" s="2">
        <v>4174.0</v>
      </c>
      <c r="E699" s="5">
        <v>46057.0</v>
      </c>
      <c r="F699" s="5">
        <v>46084.0</v>
      </c>
      <c r="G699" s="2" t="s">
        <v>1420</v>
      </c>
      <c r="H699" s="2" t="s">
        <v>1421</v>
      </c>
      <c r="I699" s="8">
        <v>678044.0</v>
      </c>
    </row>
    <row r="700" ht="22.5" customHeight="1">
      <c r="A700" s="2">
        <v>699.0</v>
      </c>
      <c r="B700" s="2" t="s">
        <v>1422</v>
      </c>
      <c r="C700" s="2" t="s">
        <v>272</v>
      </c>
      <c r="D700" s="2">
        <v>5101.0</v>
      </c>
      <c r="E700" s="5">
        <v>46236.0</v>
      </c>
      <c r="F700" s="5">
        <v>46144.0</v>
      </c>
      <c r="G700" s="2" t="s">
        <v>1423</v>
      </c>
      <c r="H700" s="2" t="s">
        <v>1424</v>
      </c>
      <c r="I700" s="8" t="s">
        <v>1425</v>
      </c>
    </row>
    <row r="701" ht="22.5" customHeight="1">
      <c r="A701" s="2">
        <v>700.0</v>
      </c>
      <c r="B701" s="2" t="s">
        <v>1422</v>
      </c>
      <c r="C701" s="2" t="s">
        <v>272</v>
      </c>
      <c r="D701" s="2">
        <v>5102.0</v>
      </c>
      <c r="E701" s="5">
        <v>46236.0</v>
      </c>
      <c r="F701" s="5">
        <v>46144.0</v>
      </c>
      <c r="G701" s="2" t="s">
        <v>1426</v>
      </c>
      <c r="H701" s="7">
        <v>12755.0</v>
      </c>
      <c r="I701" s="8" t="s">
        <v>1427</v>
      </c>
    </row>
    <row r="702" ht="22.5" customHeight="1">
      <c r="A702" s="2">
        <v>701.0</v>
      </c>
      <c r="B702" s="2" t="s">
        <v>1428</v>
      </c>
      <c r="C702" s="2" t="s">
        <v>287</v>
      </c>
      <c r="D702" s="2">
        <v>319.0</v>
      </c>
      <c r="E702" s="5">
        <v>46152.0</v>
      </c>
      <c r="F702" s="5">
        <v>46241.0</v>
      </c>
      <c r="G702" s="8">
        <v>529359.0</v>
      </c>
      <c r="H702" s="8">
        <v>214796.0</v>
      </c>
      <c r="I702" s="2" t="s">
        <v>1429</v>
      </c>
    </row>
    <row r="703" ht="22.5" customHeight="1">
      <c r="A703" s="2">
        <v>702.0</v>
      </c>
      <c r="B703" s="2" t="s">
        <v>1428</v>
      </c>
      <c r="C703" s="2" t="s">
        <v>311</v>
      </c>
      <c r="D703" s="2">
        <v>798.0</v>
      </c>
      <c r="E703" s="5">
        <v>46057.0</v>
      </c>
      <c r="F703" s="5">
        <v>46084.0</v>
      </c>
      <c r="G703" s="8">
        <v>530120.0</v>
      </c>
      <c r="H703" s="8">
        <v>267815.0</v>
      </c>
      <c r="I703" s="2" t="s">
        <v>1430</v>
      </c>
    </row>
    <row r="704" ht="22.5" customHeight="1">
      <c r="A704" s="2">
        <v>703.0</v>
      </c>
      <c r="B704" s="2" t="s">
        <v>1428</v>
      </c>
      <c r="C704" s="2" t="s">
        <v>291</v>
      </c>
      <c r="D704" s="2">
        <v>493.0</v>
      </c>
      <c r="E704" s="5">
        <v>46240.0</v>
      </c>
      <c r="F704" s="5">
        <v>46027.0</v>
      </c>
      <c r="G704" s="8">
        <v>530425.0</v>
      </c>
      <c r="H704" s="8">
        <v>224320.0</v>
      </c>
      <c r="I704" s="2" t="s">
        <v>1431</v>
      </c>
    </row>
    <row r="705" ht="22.5" customHeight="1">
      <c r="A705" s="2">
        <v>704.0</v>
      </c>
      <c r="B705" s="2" t="s">
        <v>1432</v>
      </c>
      <c r="C705" s="2" t="s">
        <v>276</v>
      </c>
      <c r="D705" s="2">
        <v>1158.0</v>
      </c>
      <c r="E705" s="5">
        <v>46057.0</v>
      </c>
      <c r="F705" s="5">
        <v>46115.0</v>
      </c>
      <c r="G705" s="8">
        <v>1082367.0</v>
      </c>
      <c r="H705" s="8">
        <v>744032.0</v>
      </c>
      <c r="I705" s="2" t="s">
        <v>1433</v>
      </c>
    </row>
    <row r="706" ht="22.5" customHeight="1">
      <c r="A706" s="2">
        <v>705.0</v>
      </c>
      <c r="B706" s="2" t="s">
        <v>1432</v>
      </c>
      <c r="C706" s="2" t="s">
        <v>272</v>
      </c>
      <c r="D706" s="2">
        <v>1737.0</v>
      </c>
      <c r="E706" s="5">
        <v>46236.0</v>
      </c>
      <c r="F706" s="5">
        <v>46144.0</v>
      </c>
      <c r="G706" s="8">
        <v>1082367.0</v>
      </c>
      <c r="H706" s="8">
        <v>892044.0</v>
      </c>
      <c r="I706" s="2" t="s">
        <v>1434</v>
      </c>
    </row>
    <row r="707" ht="22.5" customHeight="1">
      <c r="A707" s="2">
        <v>706.0</v>
      </c>
      <c r="B707" s="2" t="s">
        <v>1435</v>
      </c>
      <c r="C707" s="2" t="s">
        <v>272</v>
      </c>
      <c r="D707" s="2">
        <v>909.0</v>
      </c>
      <c r="E707" s="5">
        <v>46236.0</v>
      </c>
      <c r="F707" s="5">
        <v>46144.0</v>
      </c>
      <c r="G707" s="8">
        <v>235615.0</v>
      </c>
      <c r="H707" s="8">
        <v>135993.0</v>
      </c>
      <c r="I707" s="2" t="s">
        <v>1436</v>
      </c>
    </row>
    <row r="708" ht="22.5" customHeight="1">
      <c r="A708" s="2">
        <v>707.0</v>
      </c>
      <c r="B708" s="2" t="s">
        <v>1435</v>
      </c>
      <c r="C708" s="2" t="s">
        <v>317</v>
      </c>
      <c r="D708" s="2">
        <v>392.0</v>
      </c>
      <c r="E708" s="5">
        <v>46148.0</v>
      </c>
      <c r="F708" s="5">
        <v>46027.0</v>
      </c>
      <c r="G708" s="2">
        <v>2548.0</v>
      </c>
      <c r="H708" s="8">
        <v>36192.0</v>
      </c>
      <c r="I708" s="2" t="s">
        <v>409</v>
      </c>
    </row>
    <row r="709" ht="22.5" customHeight="1">
      <c r="A709" s="2">
        <v>708.0</v>
      </c>
      <c r="B709" s="2" t="s">
        <v>1435</v>
      </c>
      <c r="C709" s="2" t="s">
        <v>276</v>
      </c>
      <c r="D709" s="2">
        <v>606.0</v>
      </c>
      <c r="E709" s="5">
        <v>46057.0</v>
      </c>
      <c r="F709" s="5">
        <v>46115.0</v>
      </c>
      <c r="G709" s="8">
        <v>235615.0</v>
      </c>
      <c r="H709" s="8">
        <v>58532.0</v>
      </c>
      <c r="I709" s="2" t="s">
        <v>1437</v>
      </c>
    </row>
    <row r="710" ht="22.5" customHeight="1">
      <c r="A710" s="2">
        <v>709.0</v>
      </c>
      <c r="B710" s="2" t="s">
        <v>1438</v>
      </c>
      <c r="C710" s="2" t="s">
        <v>311</v>
      </c>
      <c r="D710" s="2">
        <v>7752.0</v>
      </c>
      <c r="E710" s="5">
        <v>46057.0</v>
      </c>
      <c r="F710" s="5">
        <v>46084.0</v>
      </c>
      <c r="G710" s="2" t="s">
        <v>1439</v>
      </c>
      <c r="H710" s="2" t="s">
        <v>1440</v>
      </c>
      <c r="I710" s="8">
        <v>1854186.0</v>
      </c>
    </row>
    <row r="711" ht="22.5" customHeight="1">
      <c r="A711" s="2">
        <v>710.0</v>
      </c>
      <c r="B711" s="2" t="s">
        <v>1441</v>
      </c>
      <c r="C711" s="2" t="s">
        <v>317</v>
      </c>
      <c r="D711" s="2">
        <v>1733.0</v>
      </c>
      <c r="E711" s="5">
        <v>46148.0</v>
      </c>
      <c r="F711" s="5">
        <v>46027.0</v>
      </c>
      <c r="G711" s="2" t="s">
        <v>1442</v>
      </c>
      <c r="H711" s="8">
        <v>2534114.0</v>
      </c>
      <c r="I711" s="8">
        <v>192151.0</v>
      </c>
    </row>
    <row r="712" ht="22.5" customHeight="1">
      <c r="A712" s="2">
        <v>711.0</v>
      </c>
      <c r="B712" s="2" t="s">
        <v>1441</v>
      </c>
      <c r="C712" s="2" t="s">
        <v>276</v>
      </c>
      <c r="D712" s="2">
        <v>2683.0</v>
      </c>
      <c r="E712" s="5">
        <v>46057.0</v>
      </c>
      <c r="F712" s="5">
        <v>46115.0</v>
      </c>
      <c r="G712" s="2" t="s">
        <v>1443</v>
      </c>
      <c r="H712" s="8">
        <v>2637814.0</v>
      </c>
      <c r="I712" s="8">
        <v>89942.0</v>
      </c>
    </row>
    <row r="713" ht="22.5" customHeight="1">
      <c r="A713" s="2">
        <v>712.0</v>
      </c>
      <c r="B713" s="2" t="s">
        <v>1441</v>
      </c>
      <c r="C713" s="2" t="s">
        <v>272</v>
      </c>
      <c r="D713" s="2">
        <v>4024.0</v>
      </c>
      <c r="E713" s="5">
        <v>46236.0</v>
      </c>
      <c r="F713" s="5">
        <v>46144.0</v>
      </c>
      <c r="G713" s="2" t="s">
        <v>1444</v>
      </c>
      <c r="H713" s="7">
        <v>10060.0</v>
      </c>
      <c r="I713" s="8" t="s">
        <v>1445</v>
      </c>
    </row>
    <row r="714" ht="22.5" customHeight="1">
      <c r="A714" s="2">
        <v>713.0</v>
      </c>
      <c r="B714" s="2" t="s">
        <v>1446</v>
      </c>
      <c r="C714" s="2" t="s">
        <v>291</v>
      </c>
      <c r="D714" s="2">
        <v>26782.0</v>
      </c>
      <c r="E714" s="5">
        <v>46240.0</v>
      </c>
      <c r="F714" s="5">
        <v>46027.0</v>
      </c>
      <c r="G714" s="2" t="s">
        <v>1447</v>
      </c>
      <c r="H714" s="2" t="s">
        <v>1448</v>
      </c>
      <c r="I714" s="2" t="s">
        <v>1449</v>
      </c>
    </row>
    <row r="715" ht="22.5" customHeight="1">
      <c r="A715" s="2">
        <v>714.0</v>
      </c>
      <c r="B715" s="2" t="s">
        <v>1450</v>
      </c>
      <c r="C715" s="2" t="s">
        <v>317</v>
      </c>
      <c r="D715" s="2">
        <v>6405.0</v>
      </c>
      <c r="E715" s="5">
        <v>46148.0</v>
      </c>
      <c r="F715" s="5">
        <v>46027.0</v>
      </c>
      <c r="G715" s="2" t="s">
        <v>1451</v>
      </c>
      <c r="H715" s="2" t="s">
        <v>1452</v>
      </c>
      <c r="I715" s="2">
        <v>8967.0</v>
      </c>
    </row>
    <row r="716" ht="22.5" customHeight="1">
      <c r="A716" s="2">
        <v>715.0</v>
      </c>
      <c r="B716" s="2" t="s">
        <v>1453</v>
      </c>
      <c r="C716" s="2" t="s">
        <v>272</v>
      </c>
      <c r="D716" s="2">
        <v>1753.0</v>
      </c>
      <c r="E716" s="5">
        <v>46236.0</v>
      </c>
      <c r="F716" s="5">
        <v>46144.0</v>
      </c>
      <c r="G716" s="8">
        <v>1098742.0</v>
      </c>
      <c r="H716" s="8">
        <v>906654.0</v>
      </c>
      <c r="I716" s="2" t="s">
        <v>1454</v>
      </c>
    </row>
    <row r="717" ht="22.5" customHeight="1">
      <c r="A717" s="2">
        <v>716.0</v>
      </c>
      <c r="B717" s="2" t="s">
        <v>1453</v>
      </c>
      <c r="C717" s="2" t="s">
        <v>276</v>
      </c>
      <c r="D717" s="2">
        <v>1168.0</v>
      </c>
      <c r="E717" s="5">
        <v>46057.0</v>
      </c>
      <c r="F717" s="5">
        <v>46115.0</v>
      </c>
      <c r="G717" s="8">
        <v>1097707.0</v>
      </c>
      <c r="H717" s="8">
        <v>756450.0</v>
      </c>
      <c r="I717" s="2" t="s">
        <v>1455</v>
      </c>
    </row>
    <row r="718" ht="22.5" customHeight="1">
      <c r="A718" s="2">
        <v>717.0</v>
      </c>
      <c r="B718" s="2" t="s">
        <v>1456</v>
      </c>
      <c r="C718" s="2" t="s">
        <v>272</v>
      </c>
      <c r="D718" s="2">
        <v>1504.0</v>
      </c>
      <c r="E718" s="5">
        <v>46236.0</v>
      </c>
      <c r="F718" s="5">
        <v>46144.0</v>
      </c>
      <c r="G718" s="8">
        <v>844108.0</v>
      </c>
      <c r="H718" s="7">
        <v>3760.0</v>
      </c>
      <c r="I718" s="2" t="s">
        <v>1457</v>
      </c>
    </row>
    <row r="719" ht="22.5" customHeight="1">
      <c r="A719" s="2">
        <v>718.0</v>
      </c>
      <c r="B719" s="2" t="s">
        <v>1456</v>
      </c>
      <c r="C719" s="2" t="s">
        <v>272</v>
      </c>
      <c r="D719" s="2">
        <v>1504.0</v>
      </c>
      <c r="E719" s="5">
        <v>46236.0</v>
      </c>
      <c r="F719" s="5">
        <v>46144.0</v>
      </c>
      <c r="G719" s="8">
        <v>844108.0</v>
      </c>
      <c r="H719" s="7">
        <v>3760.0</v>
      </c>
      <c r="I719" s="2" t="s">
        <v>1457</v>
      </c>
    </row>
    <row r="720" ht="22.5" customHeight="1">
      <c r="A720" s="2">
        <v>719.0</v>
      </c>
      <c r="B720" s="2" t="s">
        <v>1458</v>
      </c>
      <c r="C720" s="2" t="s">
        <v>272</v>
      </c>
      <c r="D720" s="2">
        <v>764.0</v>
      </c>
      <c r="E720" s="5">
        <v>46236.0</v>
      </c>
      <c r="F720" s="5">
        <v>46144.0</v>
      </c>
      <c r="G720" s="8">
        <v>87326.0</v>
      </c>
      <c r="H720" s="7">
        <v>1910.0</v>
      </c>
      <c r="I720" s="2" t="s">
        <v>1014</v>
      </c>
    </row>
    <row r="721" ht="22.5" customHeight="1">
      <c r="A721" s="2">
        <v>720.0</v>
      </c>
      <c r="B721" s="2" t="s">
        <v>1458</v>
      </c>
      <c r="C721" s="2" t="s">
        <v>276</v>
      </c>
      <c r="D721" s="2">
        <v>509.0</v>
      </c>
      <c r="E721" s="5">
        <v>46057.0</v>
      </c>
      <c r="F721" s="5">
        <v>46115.0</v>
      </c>
      <c r="G721" s="8">
        <v>86777.0</v>
      </c>
      <c r="H721" s="8" t="s">
        <v>1459</v>
      </c>
      <c r="I721" s="2" t="s">
        <v>1460</v>
      </c>
    </row>
    <row r="722" ht="22.5" customHeight="1">
      <c r="A722" s="2">
        <v>721.0</v>
      </c>
      <c r="B722" s="2" t="s">
        <v>1461</v>
      </c>
      <c r="C722" s="2" t="s">
        <v>317</v>
      </c>
      <c r="D722" s="2">
        <v>652.0</v>
      </c>
      <c r="E722" s="5">
        <v>46148.0</v>
      </c>
      <c r="F722" s="5">
        <v>46027.0</v>
      </c>
      <c r="G722" s="2">
        <v>4238.0</v>
      </c>
      <c r="H722" s="8">
        <v>520504.0</v>
      </c>
      <c r="I722" s="2" t="s">
        <v>1462</v>
      </c>
    </row>
    <row r="723" ht="22.5" customHeight="1">
      <c r="A723" s="2">
        <v>722.0</v>
      </c>
      <c r="B723" s="2" t="s">
        <v>1461</v>
      </c>
      <c r="C723" s="2" t="s">
        <v>276</v>
      </c>
      <c r="D723" s="2">
        <v>1010.0</v>
      </c>
      <c r="E723" s="5">
        <v>46057.0</v>
      </c>
      <c r="F723" s="5">
        <v>46115.0</v>
      </c>
      <c r="G723" s="2">
        <v>4242.0</v>
      </c>
      <c r="H723" s="7">
        <v>3434.0</v>
      </c>
      <c r="I723" s="2">
        <v>808.0</v>
      </c>
    </row>
    <row r="724" ht="22.5" customHeight="1">
      <c r="A724" s="2">
        <v>723.0</v>
      </c>
      <c r="B724" s="2" t="s">
        <v>1461</v>
      </c>
      <c r="C724" s="2" t="s">
        <v>276</v>
      </c>
      <c r="D724" s="2">
        <v>1010.0</v>
      </c>
      <c r="E724" s="5">
        <v>46057.0</v>
      </c>
      <c r="F724" s="5">
        <v>46115.0</v>
      </c>
      <c r="G724" s="2">
        <v>4242.0</v>
      </c>
      <c r="H724" s="7">
        <v>3434.0</v>
      </c>
      <c r="I724" s="2">
        <v>808.0</v>
      </c>
    </row>
    <row r="725" ht="22.5" customHeight="1">
      <c r="A725" s="2">
        <v>724.0</v>
      </c>
      <c r="B725" s="2" t="s">
        <v>1463</v>
      </c>
      <c r="C725" s="2" t="s">
        <v>272</v>
      </c>
      <c r="D725" s="2">
        <v>4072.0</v>
      </c>
      <c r="E725" s="5">
        <v>46236.0</v>
      </c>
      <c r="F725" s="5">
        <v>46144.0</v>
      </c>
      <c r="G725" s="2" t="s">
        <v>1464</v>
      </c>
      <c r="H725" s="7">
        <v>10180.0</v>
      </c>
      <c r="I725" s="8" t="s">
        <v>1465</v>
      </c>
    </row>
    <row r="726" ht="22.5" customHeight="1">
      <c r="A726" s="2">
        <v>725.0</v>
      </c>
      <c r="B726" s="2" t="s">
        <v>1463</v>
      </c>
      <c r="C726" s="2" t="s">
        <v>272</v>
      </c>
      <c r="D726" s="2">
        <v>4073.0</v>
      </c>
      <c r="E726" s="5">
        <v>46236.0</v>
      </c>
      <c r="F726" s="5">
        <v>46144.0</v>
      </c>
      <c r="G726" s="2" t="s">
        <v>1466</v>
      </c>
      <c r="H726" s="2" t="s">
        <v>1467</v>
      </c>
      <c r="I726" s="8" t="s">
        <v>1468</v>
      </c>
    </row>
    <row r="727" ht="22.5" customHeight="1">
      <c r="A727" s="2">
        <v>726.0</v>
      </c>
      <c r="B727" s="2" t="s">
        <v>1463</v>
      </c>
      <c r="C727" s="2" t="s">
        <v>276</v>
      </c>
      <c r="D727" s="2">
        <v>2715.0</v>
      </c>
      <c r="E727" s="5">
        <v>46057.0</v>
      </c>
      <c r="F727" s="5">
        <v>46115.0</v>
      </c>
      <c r="G727" s="2">
        <v>11403.0</v>
      </c>
      <c r="H727" s="7">
        <v>9231.0</v>
      </c>
      <c r="I727" s="2">
        <v>2172.0</v>
      </c>
    </row>
    <row r="728" ht="22.5" customHeight="1">
      <c r="A728" s="2">
        <v>727.0</v>
      </c>
      <c r="B728" s="2" t="s">
        <v>1469</v>
      </c>
      <c r="C728" s="2" t="s">
        <v>317</v>
      </c>
      <c r="D728" s="2">
        <v>583.0</v>
      </c>
      <c r="E728" s="5">
        <v>46148.0</v>
      </c>
      <c r="F728" s="5">
        <v>46027.0</v>
      </c>
      <c r="G728" s="8">
        <v>690066.0</v>
      </c>
      <c r="H728" s="8">
        <v>391967.0</v>
      </c>
      <c r="I728" s="2" t="s">
        <v>327</v>
      </c>
    </row>
    <row r="729" ht="22.5" customHeight="1">
      <c r="A729" s="2">
        <v>728.0</v>
      </c>
      <c r="B729" s="2" t="s">
        <v>1469</v>
      </c>
      <c r="C729" s="2" t="s">
        <v>272</v>
      </c>
      <c r="D729" s="2">
        <v>1352.0</v>
      </c>
      <c r="E729" s="5">
        <v>46236.0</v>
      </c>
      <c r="F729" s="5">
        <v>46144.0</v>
      </c>
      <c r="G729" s="8">
        <v>688636.0</v>
      </c>
      <c r="H729" s="7">
        <v>3380.0</v>
      </c>
      <c r="I729" s="2" t="s">
        <v>328</v>
      </c>
    </row>
    <row r="730" ht="22.5" customHeight="1">
      <c r="A730" s="2">
        <v>729.0</v>
      </c>
      <c r="B730" s="2" t="s">
        <v>1470</v>
      </c>
      <c r="C730" s="2" t="s">
        <v>276</v>
      </c>
      <c r="D730" s="2">
        <v>971.0</v>
      </c>
      <c r="E730" s="5">
        <v>46057.0</v>
      </c>
      <c r="F730" s="5">
        <v>46115.0</v>
      </c>
      <c r="G730" s="8">
        <v>795532.0</v>
      </c>
      <c r="H730" s="8">
        <v>511797.0</v>
      </c>
      <c r="I730" s="2" t="s">
        <v>1471</v>
      </c>
    </row>
    <row r="731" ht="22.5" customHeight="1">
      <c r="A731" s="2">
        <v>730.0</v>
      </c>
      <c r="B731" s="2" t="s">
        <v>1470</v>
      </c>
      <c r="C731" s="2" t="s">
        <v>276</v>
      </c>
      <c r="D731" s="2">
        <v>971.0</v>
      </c>
      <c r="E731" s="5">
        <v>46057.0</v>
      </c>
      <c r="F731" s="5">
        <v>46115.0</v>
      </c>
      <c r="G731" s="8">
        <v>795532.0</v>
      </c>
      <c r="H731" s="8">
        <v>511797.0</v>
      </c>
      <c r="I731" s="2" t="s">
        <v>1471</v>
      </c>
    </row>
    <row r="732" ht="22.5" customHeight="1">
      <c r="A732" s="2">
        <v>731.0</v>
      </c>
      <c r="B732" s="2" t="s">
        <v>1470</v>
      </c>
      <c r="C732" s="2" t="s">
        <v>317</v>
      </c>
      <c r="D732" s="2">
        <v>627.0</v>
      </c>
      <c r="E732" s="5">
        <v>46148.0</v>
      </c>
      <c r="F732" s="5">
        <v>46027.0</v>
      </c>
      <c r="G732" s="8">
        <v>794525.0</v>
      </c>
      <c r="H732" s="8">
        <v>473903.0</v>
      </c>
      <c r="I732" s="2" t="s">
        <v>1472</v>
      </c>
    </row>
    <row r="733" ht="22.5" customHeight="1">
      <c r="A733" s="2">
        <v>732.0</v>
      </c>
      <c r="B733" s="2" t="s">
        <v>1473</v>
      </c>
      <c r="C733" s="2" t="s">
        <v>278</v>
      </c>
      <c r="D733" s="2">
        <v>40383.0</v>
      </c>
      <c r="E733" s="5">
        <v>46115.0</v>
      </c>
      <c r="F733" s="2" t="s">
        <v>279</v>
      </c>
      <c r="G733" s="2" t="s">
        <v>1474</v>
      </c>
      <c r="H733" s="2" t="s">
        <v>1475</v>
      </c>
      <c r="I733" s="2" t="s">
        <v>1476</v>
      </c>
    </row>
    <row r="734" ht="22.5" customHeight="1">
      <c r="A734" s="2">
        <v>733.0</v>
      </c>
      <c r="B734" s="2" t="s">
        <v>1473</v>
      </c>
      <c r="C734" s="2" t="s">
        <v>278</v>
      </c>
      <c r="D734" s="2">
        <v>40383.0</v>
      </c>
      <c r="E734" s="5">
        <v>46115.0</v>
      </c>
      <c r="F734" s="2" t="s">
        <v>279</v>
      </c>
      <c r="G734" s="2" t="s">
        <v>1474</v>
      </c>
      <c r="H734" s="2" t="s">
        <v>1475</v>
      </c>
      <c r="I734" s="2" t="s">
        <v>1476</v>
      </c>
    </row>
    <row r="735" ht="22.5" customHeight="1">
      <c r="A735" s="2">
        <v>734.0</v>
      </c>
      <c r="B735" s="2" t="s">
        <v>1477</v>
      </c>
      <c r="C735" s="2" t="s">
        <v>269</v>
      </c>
      <c r="D735" s="2">
        <v>6819.0</v>
      </c>
      <c r="E735" s="5">
        <v>46058.0</v>
      </c>
      <c r="F735" s="6">
        <v>46146.0</v>
      </c>
      <c r="G735" s="2" t="s">
        <v>1478</v>
      </c>
      <c r="H735" s="2" t="s">
        <v>1479</v>
      </c>
      <c r="I735" s="2" t="s">
        <v>1480</v>
      </c>
    </row>
    <row r="736" ht="22.5" customHeight="1">
      <c r="A736" s="2">
        <v>735.0</v>
      </c>
      <c r="B736" s="2" t="s">
        <v>1477</v>
      </c>
      <c r="C736" s="2" t="s">
        <v>278</v>
      </c>
      <c r="D736" s="2">
        <v>10430.0</v>
      </c>
      <c r="E736" s="5">
        <v>46115.0</v>
      </c>
      <c r="F736" s="2" t="s">
        <v>279</v>
      </c>
      <c r="G736" s="2">
        <v>35462.0</v>
      </c>
      <c r="H736" s="2" t="s">
        <v>1481</v>
      </c>
      <c r="I736" s="8">
        <v>1401193.0</v>
      </c>
    </row>
    <row r="737" ht="22.5" customHeight="1">
      <c r="A737" s="2">
        <v>736.0</v>
      </c>
      <c r="B737" s="2" t="s">
        <v>1477</v>
      </c>
      <c r="C737" s="2" t="s">
        <v>270</v>
      </c>
      <c r="D737" s="2">
        <v>4325.0</v>
      </c>
      <c r="E737" s="5">
        <v>46061.0</v>
      </c>
      <c r="F737" s="5">
        <v>46059.0</v>
      </c>
      <c r="G737" s="2">
        <v>35465.0</v>
      </c>
      <c r="H737" s="7">
        <v>26815.0</v>
      </c>
      <c r="I737" s="2">
        <v>8650.0</v>
      </c>
    </row>
    <row r="738" ht="22.5" customHeight="1">
      <c r="A738" s="2">
        <v>737.0</v>
      </c>
      <c r="B738" s="2" t="s">
        <v>1482</v>
      </c>
      <c r="C738" s="2" t="s">
        <v>291</v>
      </c>
      <c r="D738" s="2">
        <v>21361.0</v>
      </c>
      <c r="E738" s="5">
        <v>46240.0</v>
      </c>
      <c r="F738" s="5">
        <v>46027.0</v>
      </c>
      <c r="G738" s="2" t="s">
        <v>1483</v>
      </c>
      <c r="H738" s="2" t="s">
        <v>1484</v>
      </c>
      <c r="I738" s="2" t="s">
        <v>1485</v>
      </c>
    </row>
    <row r="739" ht="22.5" customHeight="1">
      <c r="A739" s="2">
        <v>738.0</v>
      </c>
      <c r="B739" s="2" t="s">
        <v>1486</v>
      </c>
      <c r="C739" s="2" t="s">
        <v>276</v>
      </c>
      <c r="D739" s="2">
        <v>5248.0</v>
      </c>
      <c r="E739" s="5">
        <v>46057.0</v>
      </c>
      <c r="F739" s="5">
        <v>46115.0</v>
      </c>
      <c r="G739" s="2" t="s">
        <v>1487</v>
      </c>
      <c r="H739" s="2" t="s">
        <v>1488</v>
      </c>
      <c r="I739" s="8">
        <v>839420.0</v>
      </c>
    </row>
    <row r="740" ht="22.5" customHeight="1">
      <c r="A740" s="2">
        <v>739.0</v>
      </c>
      <c r="B740" s="2" t="s">
        <v>1486</v>
      </c>
      <c r="C740" s="2" t="s">
        <v>276</v>
      </c>
      <c r="D740" s="2">
        <v>5249.0</v>
      </c>
      <c r="E740" s="5">
        <v>46057.0</v>
      </c>
      <c r="F740" s="5">
        <v>46115.0</v>
      </c>
      <c r="G740" s="2" t="s">
        <v>1489</v>
      </c>
      <c r="H740" s="2" t="s">
        <v>1490</v>
      </c>
      <c r="I740" s="8">
        <v>839726.0</v>
      </c>
    </row>
    <row r="741" ht="22.5" customHeight="1">
      <c r="A741" s="2">
        <v>740.0</v>
      </c>
      <c r="B741" s="2" t="s">
        <v>1491</v>
      </c>
      <c r="C741" s="2" t="s">
        <v>276</v>
      </c>
      <c r="D741" s="2">
        <v>21301.0</v>
      </c>
      <c r="E741" s="5">
        <v>46057.0</v>
      </c>
      <c r="F741" s="5">
        <v>46115.0</v>
      </c>
      <c r="G741" s="2" t="s">
        <v>1492</v>
      </c>
      <c r="H741" s="2" t="s">
        <v>1493</v>
      </c>
      <c r="I741" s="2" t="s">
        <v>1494</v>
      </c>
    </row>
    <row r="742" ht="22.5" customHeight="1">
      <c r="A742" s="2">
        <v>741.0</v>
      </c>
      <c r="B742" s="2" t="s">
        <v>1495</v>
      </c>
      <c r="C742" s="2" t="s">
        <v>317</v>
      </c>
      <c r="D742" s="2">
        <v>11098.0</v>
      </c>
      <c r="E742" s="5">
        <v>46148.0</v>
      </c>
      <c r="F742" s="5">
        <v>46027.0</v>
      </c>
      <c r="G742" s="2">
        <v>72137.0</v>
      </c>
      <c r="H742" s="2" t="s">
        <v>1496</v>
      </c>
      <c r="I742" s="2" t="s">
        <v>1497</v>
      </c>
    </row>
    <row r="743" ht="22.5" customHeight="1">
      <c r="A743" s="2">
        <v>742.0</v>
      </c>
      <c r="B743" s="2" t="s">
        <v>1495</v>
      </c>
      <c r="C743" s="2" t="s">
        <v>317</v>
      </c>
      <c r="D743" s="2">
        <v>11099.0</v>
      </c>
      <c r="E743" s="5">
        <v>46148.0</v>
      </c>
      <c r="F743" s="5">
        <v>46027.0</v>
      </c>
      <c r="G743" s="2" t="s">
        <v>1498</v>
      </c>
      <c r="H743" s="2" t="s">
        <v>1499</v>
      </c>
      <c r="I743" s="2" t="s">
        <v>1500</v>
      </c>
    </row>
    <row r="744" ht="22.5" customHeight="1">
      <c r="A744" s="2">
        <v>743.0</v>
      </c>
      <c r="B744" s="2" t="s">
        <v>1495</v>
      </c>
      <c r="C744" s="2" t="s">
        <v>276</v>
      </c>
      <c r="D744" s="2">
        <v>17176.0</v>
      </c>
      <c r="E744" s="5">
        <v>46057.0</v>
      </c>
      <c r="F744" s="5">
        <v>46115.0</v>
      </c>
      <c r="G744" s="2" t="s">
        <v>1501</v>
      </c>
      <c r="H744" s="2" t="s">
        <v>1502</v>
      </c>
      <c r="I744" s="2" t="s">
        <v>1503</v>
      </c>
    </row>
    <row r="745" ht="22.5" customHeight="1">
      <c r="A745" s="2">
        <v>744.0</v>
      </c>
      <c r="B745" s="2" t="s">
        <v>1504</v>
      </c>
      <c r="C745" s="2" t="s">
        <v>276</v>
      </c>
      <c r="D745" s="2">
        <v>735.0</v>
      </c>
      <c r="E745" s="5">
        <v>46057.0</v>
      </c>
      <c r="F745" s="5">
        <v>46115.0</v>
      </c>
      <c r="G745" s="2">
        <v>3087.0</v>
      </c>
      <c r="H745" s="7">
        <v>2499.0</v>
      </c>
      <c r="I745" s="2">
        <v>588.0</v>
      </c>
    </row>
    <row r="746" ht="22.5" customHeight="1">
      <c r="A746" s="2">
        <v>745.0</v>
      </c>
      <c r="B746" s="2" t="s">
        <v>1504</v>
      </c>
      <c r="C746" s="2" t="s">
        <v>276</v>
      </c>
      <c r="D746" s="2">
        <v>735.0</v>
      </c>
      <c r="E746" s="5">
        <v>46057.0</v>
      </c>
      <c r="F746" s="5">
        <v>46115.0</v>
      </c>
      <c r="G746" s="2">
        <v>3087.0</v>
      </c>
      <c r="H746" s="7">
        <v>2499.0</v>
      </c>
      <c r="I746" s="2">
        <v>588.0</v>
      </c>
    </row>
    <row r="747" ht="22.5" customHeight="1">
      <c r="A747" s="2">
        <v>746.0</v>
      </c>
      <c r="B747" s="2" t="s">
        <v>1504</v>
      </c>
      <c r="C747" s="2" t="s">
        <v>272</v>
      </c>
      <c r="D747" s="2">
        <v>1103.0</v>
      </c>
      <c r="E747" s="5">
        <v>46236.0</v>
      </c>
      <c r="F747" s="5">
        <v>46144.0</v>
      </c>
      <c r="G747" s="8">
        <v>434001.0</v>
      </c>
      <c r="H747" s="8">
        <v>313135.0</v>
      </c>
      <c r="I747" s="2" t="s">
        <v>1505</v>
      </c>
    </row>
    <row r="748" ht="22.5" customHeight="1">
      <c r="A748" s="2">
        <v>747.0</v>
      </c>
      <c r="B748" s="2" t="s">
        <v>1506</v>
      </c>
      <c r="C748" s="2" t="s">
        <v>272</v>
      </c>
      <c r="D748" s="2">
        <v>1709.0</v>
      </c>
      <c r="E748" s="5">
        <v>46236.0</v>
      </c>
      <c r="F748" s="5">
        <v>46144.0</v>
      </c>
      <c r="G748" s="8">
        <v>1053758.0</v>
      </c>
      <c r="H748" s="8">
        <v>866478.0</v>
      </c>
      <c r="I748" s="2" t="s">
        <v>1507</v>
      </c>
    </row>
    <row r="749" ht="22.5" customHeight="1">
      <c r="A749" s="2">
        <v>748.0</v>
      </c>
      <c r="B749" s="2" t="s">
        <v>1506</v>
      </c>
      <c r="C749" s="2" t="s">
        <v>317</v>
      </c>
      <c r="D749" s="2">
        <v>736.0</v>
      </c>
      <c r="E749" s="5">
        <v>46148.0</v>
      </c>
      <c r="F749" s="5">
        <v>46027.0</v>
      </c>
      <c r="G749" s="2">
        <v>4784.0</v>
      </c>
      <c r="H749" s="8">
        <v>676948.0</v>
      </c>
      <c r="I749" s="8" t="s">
        <v>1508</v>
      </c>
    </row>
    <row r="750" ht="22.5" customHeight="1">
      <c r="A750" s="2">
        <v>749.0</v>
      </c>
      <c r="B750" s="2" t="s">
        <v>1506</v>
      </c>
      <c r="C750" s="2" t="s">
        <v>276</v>
      </c>
      <c r="D750" s="2">
        <v>1139.0</v>
      </c>
      <c r="E750" s="5">
        <v>46057.0</v>
      </c>
      <c r="F750" s="5">
        <v>46115.0</v>
      </c>
      <c r="G750" s="8">
        <v>1053208.0</v>
      </c>
      <c r="H750" s="8">
        <v>720412.0</v>
      </c>
      <c r="I750" s="2" t="s">
        <v>1509</v>
      </c>
    </row>
    <row r="751" ht="22.5" customHeight="1">
      <c r="A751" s="2">
        <v>750.0</v>
      </c>
      <c r="B751" s="2" t="s">
        <v>1510</v>
      </c>
      <c r="C751" s="2" t="s">
        <v>269</v>
      </c>
      <c r="D751" s="2">
        <v>1231.0</v>
      </c>
      <c r="E751" s="5">
        <v>46058.0</v>
      </c>
      <c r="F751" s="6">
        <v>46146.0</v>
      </c>
      <c r="G751" s="8">
        <v>1643990.0</v>
      </c>
      <c r="H751" s="2" t="s">
        <v>1511</v>
      </c>
      <c r="I751" s="2" t="s">
        <v>1512</v>
      </c>
    </row>
    <row r="752" ht="22.5" customHeight="1">
      <c r="A752" s="2">
        <v>751.0</v>
      </c>
      <c r="B752" s="2" t="s">
        <v>1510</v>
      </c>
      <c r="C752" s="2" t="s">
        <v>270</v>
      </c>
      <c r="D752" s="2">
        <v>780.0</v>
      </c>
      <c r="E752" s="5">
        <v>46061.0</v>
      </c>
      <c r="F752" s="5">
        <v>46059.0</v>
      </c>
      <c r="G752" s="2">
        <v>6396.0</v>
      </c>
      <c r="H752" s="7">
        <v>4836.0</v>
      </c>
      <c r="I752" s="2">
        <v>1560.0</v>
      </c>
    </row>
    <row r="753" ht="22.5" customHeight="1">
      <c r="A753" s="2">
        <v>752.0</v>
      </c>
      <c r="B753" s="2" t="s">
        <v>1513</v>
      </c>
      <c r="C753" s="2" t="s">
        <v>272</v>
      </c>
      <c r="D753" s="2">
        <v>3012.0</v>
      </c>
      <c r="E753" s="5">
        <v>46236.0</v>
      </c>
      <c r="F753" s="5">
        <v>46144.0</v>
      </c>
      <c r="G753" s="8">
        <v>2386283.0</v>
      </c>
      <c r="H753" s="7">
        <v>7530.0</v>
      </c>
      <c r="I753" s="2" t="s">
        <v>1514</v>
      </c>
    </row>
    <row r="754" ht="22.5" customHeight="1">
      <c r="A754" s="2">
        <v>753.0</v>
      </c>
      <c r="B754" s="2" t="s">
        <v>1513</v>
      </c>
      <c r="C754" s="2" t="s">
        <v>272</v>
      </c>
      <c r="D754" s="2">
        <v>3013.0</v>
      </c>
      <c r="E754" s="5">
        <v>46236.0</v>
      </c>
      <c r="F754" s="5">
        <v>46144.0</v>
      </c>
      <c r="G754" s="8">
        <v>2387318.0</v>
      </c>
      <c r="H754" s="8">
        <v>2057168.0</v>
      </c>
      <c r="I754" s="2" t="s">
        <v>1515</v>
      </c>
    </row>
    <row r="755" ht="22.5" customHeight="1">
      <c r="A755" s="2">
        <v>754.0</v>
      </c>
      <c r="B755" s="2" t="s">
        <v>1513</v>
      </c>
      <c r="C755" s="2" t="s">
        <v>317</v>
      </c>
      <c r="D755" s="2">
        <v>1298.0</v>
      </c>
      <c r="E755" s="5">
        <v>46148.0</v>
      </c>
      <c r="F755" s="5">
        <v>46027.0</v>
      </c>
      <c r="G755" s="2">
        <v>8437.0</v>
      </c>
      <c r="H755" s="8">
        <v>1723793.0</v>
      </c>
      <c r="I755" s="8" t="s">
        <v>1516</v>
      </c>
    </row>
    <row r="756" ht="22.5" customHeight="1">
      <c r="A756" s="2">
        <v>755.0</v>
      </c>
      <c r="B756" s="2" t="s">
        <v>1517</v>
      </c>
      <c r="C756" s="2" t="s">
        <v>317</v>
      </c>
      <c r="D756" s="2">
        <v>328.0</v>
      </c>
      <c r="E756" s="5">
        <v>46148.0</v>
      </c>
      <c r="F756" s="5">
        <v>46027.0</v>
      </c>
      <c r="G756" s="2">
        <v>2132.0</v>
      </c>
      <c r="H756" s="8" t="s">
        <v>1518</v>
      </c>
      <c r="I756" s="2" t="s">
        <v>1519</v>
      </c>
    </row>
    <row r="757" ht="22.5" customHeight="1">
      <c r="A757" s="2">
        <v>756.0</v>
      </c>
      <c r="B757" s="2" t="s">
        <v>1517</v>
      </c>
      <c r="C757" s="2" t="s">
        <v>272</v>
      </c>
      <c r="D757" s="2">
        <v>761.0</v>
      </c>
      <c r="E757" s="5">
        <v>46236.0</v>
      </c>
      <c r="F757" s="5">
        <v>46144.0</v>
      </c>
      <c r="G757" s="8">
        <v>84220.0</v>
      </c>
      <c r="H757" s="8">
        <v>852.0</v>
      </c>
      <c r="I757" s="2" t="s">
        <v>1520</v>
      </c>
    </row>
    <row r="758" ht="22.5" customHeight="1">
      <c r="A758" s="2">
        <v>757.0</v>
      </c>
      <c r="B758" s="2" t="s">
        <v>1521</v>
      </c>
      <c r="C758" s="2" t="s">
        <v>272</v>
      </c>
      <c r="D758" s="2">
        <v>8136.0</v>
      </c>
      <c r="E758" s="5">
        <v>46236.0</v>
      </c>
      <c r="F758" s="5">
        <v>46144.0</v>
      </c>
      <c r="G758" s="2" t="s">
        <v>1522</v>
      </c>
      <c r="H758" s="7">
        <v>20340.0</v>
      </c>
      <c r="I758" s="8">
        <v>197446.0</v>
      </c>
    </row>
    <row r="759" ht="22.5" customHeight="1">
      <c r="A759" s="2">
        <v>758.0</v>
      </c>
      <c r="B759" s="2" t="s">
        <v>1521</v>
      </c>
      <c r="C759" s="2" t="s">
        <v>272</v>
      </c>
      <c r="D759" s="2">
        <v>8136.0</v>
      </c>
      <c r="E759" s="5">
        <v>46236.0</v>
      </c>
      <c r="F759" s="5">
        <v>46144.0</v>
      </c>
      <c r="G759" s="2" t="s">
        <v>1522</v>
      </c>
      <c r="H759" s="7">
        <v>20340.0</v>
      </c>
      <c r="I759" s="8">
        <v>197446.0</v>
      </c>
    </row>
    <row r="760" ht="22.5" customHeight="1">
      <c r="A760" s="2">
        <v>759.0</v>
      </c>
      <c r="B760" s="2" t="s">
        <v>1523</v>
      </c>
      <c r="C760" s="2" t="s">
        <v>272</v>
      </c>
      <c r="D760" s="2">
        <v>2184.0</v>
      </c>
      <c r="E760" s="5">
        <v>46236.0</v>
      </c>
      <c r="F760" s="5">
        <v>46144.0</v>
      </c>
      <c r="G760" s="8">
        <v>1539530.0</v>
      </c>
      <c r="H760" s="7">
        <v>5460.0</v>
      </c>
      <c r="I760" s="2" t="s">
        <v>1524</v>
      </c>
    </row>
    <row r="761" ht="22.5" customHeight="1">
      <c r="A761" s="2">
        <v>760.0</v>
      </c>
      <c r="B761" s="2" t="s">
        <v>1523</v>
      </c>
      <c r="C761" s="2" t="s">
        <v>272</v>
      </c>
      <c r="D761" s="2">
        <v>2184.0</v>
      </c>
      <c r="E761" s="5">
        <v>46236.0</v>
      </c>
      <c r="F761" s="5">
        <v>46144.0</v>
      </c>
      <c r="G761" s="8">
        <v>1539530.0</v>
      </c>
      <c r="H761" s="7">
        <v>5460.0</v>
      </c>
      <c r="I761" s="2" t="s">
        <v>1524</v>
      </c>
    </row>
    <row r="762" ht="22.5" customHeight="1">
      <c r="A762" s="2">
        <v>761.0</v>
      </c>
      <c r="B762" s="2" t="s">
        <v>1525</v>
      </c>
      <c r="C762" s="2" t="s">
        <v>278</v>
      </c>
      <c r="D762" s="2">
        <v>2038.0</v>
      </c>
      <c r="E762" s="5">
        <v>46115.0</v>
      </c>
      <c r="F762" s="2" t="s">
        <v>279</v>
      </c>
      <c r="G762" s="8">
        <v>1836838.0</v>
      </c>
      <c r="H762" s="8">
        <v>1427429.0</v>
      </c>
      <c r="I762" s="8" t="s">
        <v>1526</v>
      </c>
    </row>
    <row r="763" ht="22.5" customHeight="1">
      <c r="A763" s="2">
        <v>762.0</v>
      </c>
      <c r="B763" s="2" t="s">
        <v>1525</v>
      </c>
      <c r="C763" s="2" t="s">
        <v>270</v>
      </c>
      <c r="D763" s="2">
        <v>845.0</v>
      </c>
      <c r="E763" s="5">
        <v>46061.0</v>
      </c>
      <c r="F763" s="5">
        <v>46059.0</v>
      </c>
      <c r="G763" s="2">
        <v>6929.0</v>
      </c>
      <c r="H763" s="7">
        <v>5239.0</v>
      </c>
      <c r="I763" s="2">
        <v>1690.0</v>
      </c>
    </row>
    <row r="764" ht="22.5" customHeight="1">
      <c r="A764" s="2">
        <v>763.0</v>
      </c>
      <c r="B764" s="2" t="s">
        <v>1527</v>
      </c>
      <c r="C764" s="2" t="s">
        <v>278</v>
      </c>
      <c r="D764" s="2">
        <v>4096.0</v>
      </c>
      <c r="E764" s="5">
        <v>46115.0</v>
      </c>
      <c r="F764" s="2" t="s">
        <v>279</v>
      </c>
      <c r="G764" s="2" t="s">
        <v>1528</v>
      </c>
      <c r="H764" s="2" t="s">
        <v>1529</v>
      </c>
      <c r="I764" s="8">
        <v>128780.0</v>
      </c>
    </row>
    <row r="765" ht="22.5" customHeight="1">
      <c r="A765" s="2">
        <v>764.0</v>
      </c>
      <c r="B765" s="2" t="s">
        <v>1527</v>
      </c>
      <c r="C765" s="2" t="s">
        <v>269</v>
      </c>
      <c r="D765" s="2">
        <v>2678.0</v>
      </c>
      <c r="E765" s="5">
        <v>46058.0</v>
      </c>
      <c r="F765" s="6">
        <v>46146.0</v>
      </c>
      <c r="G765" s="2" t="s">
        <v>1530</v>
      </c>
      <c r="H765" s="2" t="s">
        <v>1531</v>
      </c>
      <c r="I765" s="8">
        <v>430804.0</v>
      </c>
    </row>
    <row r="766" ht="22.5" customHeight="1">
      <c r="A766" s="2">
        <v>765.0</v>
      </c>
      <c r="B766" s="2" t="s">
        <v>1532</v>
      </c>
      <c r="C766" s="2" t="s">
        <v>317</v>
      </c>
      <c r="D766" s="2">
        <v>1088.0</v>
      </c>
      <c r="E766" s="5">
        <v>46148.0</v>
      </c>
      <c r="F766" s="5">
        <v>46027.0</v>
      </c>
      <c r="G766" s="2">
        <v>7072.0</v>
      </c>
      <c r="H766" s="8">
        <v>1332619.0</v>
      </c>
      <c r="I766" s="8" t="s">
        <v>1533</v>
      </c>
    </row>
    <row r="767" ht="22.5" customHeight="1">
      <c r="A767" s="2">
        <v>766.0</v>
      </c>
      <c r="B767" s="2" t="s">
        <v>1532</v>
      </c>
      <c r="C767" s="2" t="s">
        <v>272</v>
      </c>
      <c r="D767" s="2">
        <v>2524.0</v>
      </c>
      <c r="E767" s="5">
        <v>46236.0</v>
      </c>
      <c r="F767" s="5">
        <v>46144.0</v>
      </c>
      <c r="G767" s="8">
        <v>1887241.0</v>
      </c>
      <c r="H767" s="7">
        <v>6310.0</v>
      </c>
      <c r="I767" s="2" t="s">
        <v>1534</v>
      </c>
    </row>
    <row r="768" ht="22.5" customHeight="1">
      <c r="A768" s="2">
        <v>767.0</v>
      </c>
      <c r="B768" s="2" t="s">
        <v>1535</v>
      </c>
      <c r="C768" s="2" t="s">
        <v>272</v>
      </c>
      <c r="D768" s="2">
        <v>1067.0</v>
      </c>
      <c r="E768" s="5">
        <v>46236.0</v>
      </c>
      <c r="F768" s="5">
        <v>46144.0</v>
      </c>
      <c r="G768" s="8">
        <v>397172.0</v>
      </c>
      <c r="H768" s="8">
        <v>280263.0</v>
      </c>
      <c r="I768" s="2" t="s">
        <v>1536</v>
      </c>
    </row>
    <row r="769" ht="22.5" customHeight="1">
      <c r="A769" s="2">
        <v>768.0</v>
      </c>
      <c r="B769" s="2" t="s">
        <v>1535</v>
      </c>
      <c r="C769" s="2" t="s">
        <v>272</v>
      </c>
      <c r="D769" s="2">
        <v>1066.0</v>
      </c>
      <c r="E769" s="5">
        <v>46236.0</v>
      </c>
      <c r="F769" s="5">
        <v>46144.0</v>
      </c>
      <c r="G769" s="8">
        <v>396138.0</v>
      </c>
      <c r="H769" s="7">
        <v>2665.0</v>
      </c>
      <c r="I769" s="2" t="s">
        <v>1537</v>
      </c>
    </row>
    <row r="770" ht="22.5" customHeight="1">
      <c r="A770" s="2">
        <v>769.0</v>
      </c>
      <c r="B770" s="2" t="s">
        <v>1535</v>
      </c>
      <c r="C770" s="2" t="s">
        <v>317</v>
      </c>
      <c r="D770" s="2">
        <v>459.0</v>
      </c>
      <c r="E770" s="5">
        <v>46148.0</v>
      </c>
      <c r="F770" s="5">
        <v>46027.0</v>
      </c>
      <c r="G770" s="8">
        <v>395680.0</v>
      </c>
      <c r="H770" s="8">
        <v>160952.0</v>
      </c>
      <c r="I770" s="2" t="s">
        <v>1538</v>
      </c>
    </row>
    <row r="771" ht="22.5" customHeight="1">
      <c r="A771" s="2">
        <v>770.0</v>
      </c>
      <c r="B771" s="2" t="s">
        <v>1539</v>
      </c>
      <c r="C771" s="2" t="s">
        <v>269</v>
      </c>
      <c r="D771" s="2">
        <v>6420.0</v>
      </c>
      <c r="E771" s="5">
        <v>46058.0</v>
      </c>
      <c r="F771" s="6">
        <v>46146.0</v>
      </c>
      <c r="G771" s="2">
        <v>33384.0</v>
      </c>
      <c r="H771" s="7">
        <v>26001.0</v>
      </c>
      <c r="I771" s="2">
        <v>7383.0</v>
      </c>
    </row>
    <row r="772" ht="22.5" customHeight="1">
      <c r="A772" s="2">
        <v>771.0</v>
      </c>
      <c r="B772" s="2" t="s">
        <v>1539</v>
      </c>
      <c r="C772" s="2" t="s">
        <v>269</v>
      </c>
      <c r="D772" s="2">
        <v>6420.0</v>
      </c>
      <c r="E772" s="5">
        <v>46058.0</v>
      </c>
      <c r="F772" s="6">
        <v>46146.0</v>
      </c>
      <c r="G772" s="2">
        <v>33384.0</v>
      </c>
      <c r="H772" s="7">
        <v>26001.0</v>
      </c>
      <c r="I772" s="2">
        <v>7383.0</v>
      </c>
    </row>
    <row r="773" ht="22.5" customHeight="1">
      <c r="A773" s="2">
        <v>772.0</v>
      </c>
      <c r="B773" s="2" t="s">
        <v>1539</v>
      </c>
      <c r="C773" s="2" t="s">
        <v>269</v>
      </c>
      <c r="D773" s="2">
        <v>6421.0</v>
      </c>
      <c r="E773" s="5">
        <v>46058.0</v>
      </c>
      <c r="F773" s="6">
        <v>46146.0</v>
      </c>
      <c r="G773" s="2" t="s">
        <v>1540</v>
      </c>
      <c r="H773" s="2" t="s">
        <v>1541</v>
      </c>
      <c r="I773" s="2" t="s">
        <v>1542</v>
      </c>
    </row>
    <row r="774" ht="22.5" customHeight="1">
      <c r="A774" s="2">
        <v>773.0</v>
      </c>
      <c r="B774" s="2" t="s">
        <v>1543</v>
      </c>
      <c r="C774" s="2" t="s">
        <v>276</v>
      </c>
      <c r="D774" s="2">
        <v>10435.0</v>
      </c>
      <c r="E774" s="5">
        <v>46057.0</v>
      </c>
      <c r="F774" s="5">
        <v>46115.0</v>
      </c>
      <c r="G774" s="2">
        <v>43827.0</v>
      </c>
      <c r="H774" s="7">
        <v>35479.0</v>
      </c>
      <c r="I774" s="2">
        <v>8348.0</v>
      </c>
    </row>
    <row r="775" ht="22.5" customHeight="1">
      <c r="A775" s="2">
        <v>774.0</v>
      </c>
      <c r="B775" s="2" t="s">
        <v>1543</v>
      </c>
      <c r="C775" s="2" t="s">
        <v>276</v>
      </c>
      <c r="D775" s="2">
        <v>10436.0</v>
      </c>
      <c r="E775" s="5">
        <v>46057.0</v>
      </c>
      <c r="F775" s="5">
        <v>46115.0</v>
      </c>
      <c r="G775" s="2" t="s">
        <v>1544</v>
      </c>
      <c r="H775" s="2" t="s">
        <v>1545</v>
      </c>
      <c r="I775" s="8">
        <v>2355298.0</v>
      </c>
    </row>
    <row r="776" ht="22.5" customHeight="1">
      <c r="A776" s="2">
        <v>775.0</v>
      </c>
      <c r="B776" s="2" t="s">
        <v>1546</v>
      </c>
      <c r="C776" s="2" t="s">
        <v>317</v>
      </c>
      <c r="D776" s="2">
        <v>933.0</v>
      </c>
      <c r="E776" s="5">
        <v>46148.0</v>
      </c>
      <c r="F776" s="5">
        <v>46027.0</v>
      </c>
      <c r="G776" s="8">
        <v>1520993.0</v>
      </c>
      <c r="H776" s="8">
        <v>1043924.0</v>
      </c>
      <c r="I776" s="8" t="s">
        <v>1547</v>
      </c>
    </row>
    <row r="777" ht="22.5" customHeight="1">
      <c r="A777" s="2">
        <v>776.0</v>
      </c>
      <c r="B777" s="2" t="s">
        <v>1546</v>
      </c>
      <c r="C777" s="2" t="s">
        <v>272</v>
      </c>
      <c r="D777" s="2">
        <v>2166.0</v>
      </c>
      <c r="E777" s="5">
        <v>46236.0</v>
      </c>
      <c r="F777" s="5">
        <v>46144.0</v>
      </c>
      <c r="G777" s="8">
        <v>1521085.0</v>
      </c>
      <c r="H777" s="7">
        <v>5415.0</v>
      </c>
      <c r="I777" s="2" t="s">
        <v>1548</v>
      </c>
    </row>
    <row r="778" ht="22.5" customHeight="1">
      <c r="A778" s="2">
        <v>777.0</v>
      </c>
      <c r="B778" s="2" t="s">
        <v>1549</v>
      </c>
      <c r="C778" s="2" t="s">
        <v>272</v>
      </c>
      <c r="D778" s="2">
        <v>1642.0</v>
      </c>
      <c r="E778" s="5">
        <v>46236.0</v>
      </c>
      <c r="F778" s="5">
        <v>46144.0</v>
      </c>
      <c r="G778" s="8">
        <v>985213.0</v>
      </c>
      <c r="H778" s="7">
        <v>4105.0</v>
      </c>
      <c r="I778" s="2" t="s">
        <v>1550</v>
      </c>
    </row>
    <row r="779" ht="22.5" customHeight="1">
      <c r="A779" s="2">
        <v>778.0</v>
      </c>
      <c r="B779" s="2" t="s">
        <v>1549</v>
      </c>
      <c r="C779" s="2" t="s">
        <v>272</v>
      </c>
      <c r="D779" s="2">
        <v>1642.0</v>
      </c>
      <c r="E779" s="5">
        <v>46236.0</v>
      </c>
      <c r="F779" s="5">
        <v>46144.0</v>
      </c>
      <c r="G779" s="8">
        <v>985213.0</v>
      </c>
      <c r="H779" s="7">
        <v>4105.0</v>
      </c>
      <c r="I779" s="2" t="s">
        <v>1550</v>
      </c>
    </row>
    <row r="780" ht="22.5" customHeight="1">
      <c r="A780" s="2">
        <v>779.0</v>
      </c>
      <c r="B780" s="2" t="s">
        <v>1549</v>
      </c>
      <c r="C780" s="2" t="s">
        <v>272</v>
      </c>
      <c r="D780" s="2">
        <v>1642.0</v>
      </c>
      <c r="E780" s="5">
        <v>46236.0</v>
      </c>
      <c r="F780" s="5">
        <v>46144.0</v>
      </c>
      <c r="G780" s="8">
        <v>985213.0</v>
      </c>
      <c r="H780" s="7">
        <v>4105.0</v>
      </c>
      <c r="I780" s="2" t="s">
        <v>1550</v>
      </c>
    </row>
    <row r="781" ht="22.5" customHeight="1">
      <c r="A781" s="2">
        <v>780.0</v>
      </c>
      <c r="B781" s="2" t="s">
        <v>1551</v>
      </c>
      <c r="C781" s="2" t="s">
        <v>278</v>
      </c>
      <c r="D781" s="2">
        <v>4034.0</v>
      </c>
      <c r="E781" s="5">
        <v>46115.0</v>
      </c>
      <c r="F781" s="2" t="s">
        <v>279</v>
      </c>
      <c r="G781" s="2" t="s">
        <v>1552</v>
      </c>
      <c r="H781" s="2" t="s">
        <v>1553</v>
      </c>
      <c r="I781" s="8">
        <v>116330.0</v>
      </c>
    </row>
    <row r="782" ht="22.5" customHeight="1">
      <c r="A782" s="2">
        <v>781.0</v>
      </c>
      <c r="B782" s="2" t="s">
        <v>1551</v>
      </c>
      <c r="C782" s="2" t="s">
        <v>278</v>
      </c>
      <c r="D782" s="2">
        <v>4034.0</v>
      </c>
      <c r="E782" s="5">
        <v>46115.0</v>
      </c>
      <c r="F782" s="2" t="s">
        <v>279</v>
      </c>
      <c r="G782" s="2" t="s">
        <v>1552</v>
      </c>
      <c r="H782" s="2" t="s">
        <v>1553</v>
      </c>
      <c r="I782" s="8">
        <v>116330.0</v>
      </c>
    </row>
    <row r="783" ht="22.5" customHeight="1">
      <c r="A783" s="2">
        <v>782.0</v>
      </c>
      <c r="B783" s="2" t="s">
        <v>1554</v>
      </c>
      <c r="C783" s="2" t="s">
        <v>269</v>
      </c>
      <c r="D783" s="2">
        <v>1396.0</v>
      </c>
      <c r="E783" s="5">
        <v>46058.0</v>
      </c>
      <c r="F783" s="6">
        <v>46146.0</v>
      </c>
      <c r="G783" s="8">
        <v>1957368.0</v>
      </c>
      <c r="H783" s="8">
        <v>1370970.0</v>
      </c>
      <c r="I783" s="8" t="s">
        <v>1555</v>
      </c>
    </row>
    <row r="784" ht="22.5" customHeight="1">
      <c r="A784" s="2">
        <v>783.0</v>
      </c>
      <c r="B784" s="2" t="s">
        <v>1554</v>
      </c>
      <c r="C784" s="2" t="s">
        <v>278</v>
      </c>
      <c r="D784" s="2">
        <v>2136.0</v>
      </c>
      <c r="E784" s="5">
        <v>46115.0</v>
      </c>
      <c r="F784" s="2" t="s">
        <v>279</v>
      </c>
      <c r="G784" s="8">
        <v>1958523.0</v>
      </c>
      <c r="H784" s="8">
        <v>1529424.0</v>
      </c>
      <c r="I784" s="8" t="s">
        <v>1556</v>
      </c>
    </row>
    <row r="785" ht="22.5" customHeight="1">
      <c r="A785" s="2">
        <v>784.0</v>
      </c>
      <c r="B785" s="2" t="s">
        <v>1557</v>
      </c>
      <c r="C785" s="2" t="s">
        <v>276</v>
      </c>
      <c r="D785" s="2">
        <v>1126.0</v>
      </c>
      <c r="E785" s="5">
        <v>46057.0</v>
      </c>
      <c r="F785" s="5">
        <v>46115.0</v>
      </c>
      <c r="G785" s="8">
        <v>1033304.0</v>
      </c>
      <c r="H785" s="8">
        <v>704280.0</v>
      </c>
      <c r="I785" s="2" t="s">
        <v>699</v>
      </c>
    </row>
    <row r="786" ht="22.5" customHeight="1">
      <c r="A786" s="2">
        <v>785.0</v>
      </c>
      <c r="B786" s="2" t="s">
        <v>1558</v>
      </c>
      <c r="C786" s="2" t="s">
        <v>272</v>
      </c>
      <c r="D786" s="2">
        <v>46303.0</v>
      </c>
      <c r="E786" s="5">
        <v>46236.0</v>
      </c>
      <c r="F786" s="5">
        <v>46144.0</v>
      </c>
      <c r="G786" s="2" t="s">
        <v>1559</v>
      </c>
      <c r="H786" s="2" t="s">
        <v>1560</v>
      </c>
      <c r="I786" s="2" t="s">
        <v>1561</v>
      </c>
    </row>
    <row r="787" ht="22.5" customHeight="1">
      <c r="A787" s="2">
        <v>786.0</v>
      </c>
      <c r="B787" s="2" t="s">
        <v>1562</v>
      </c>
      <c r="C787" s="2" t="s">
        <v>291</v>
      </c>
      <c r="D787" s="2">
        <v>2074.0</v>
      </c>
      <c r="E787" s="5">
        <v>46240.0</v>
      </c>
      <c r="F787" s="5">
        <v>46027.0</v>
      </c>
      <c r="G787" s="2" t="s">
        <v>1563</v>
      </c>
      <c r="H787" s="2" t="s">
        <v>1564</v>
      </c>
      <c r="I787" s="8">
        <v>593733.0</v>
      </c>
    </row>
    <row r="788" ht="22.5" customHeight="1">
      <c r="A788" s="2">
        <v>787.0</v>
      </c>
      <c r="B788" s="2" t="s">
        <v>1565</v>
      </c>
      <c r="C788" s="2" t="s">
        <v>269</v>
      </c>
      <c r="D788" s="2">
        <v>730.0</v>
      </c>
      <c r="E788" s="5">
        <v>46058.0</v>
      </c>
      <c r="F788" s="6">
        <v>46146.0</v>
      </c>
      <c r="G788" s="2">
        <v>3796.0</v>
      </c>
      <c r="H788" s="8">
        <v>385819.0</v>
      </c>
      <c r="I788" s="2" t="s">
        <v>1566</v>
      </c>
    </row>
    <row r="789" ht="22.5" customHeight="1">
      <c r="A789" s="2">
        <v>788.0</v>
      </c>
      <c r="B789" s="2" t="s">
        <v>1565</v>
      </c>
      <c r="C789" s="2" t="s">
        <v>269</v>
      </c>
      <c r="D789" s="2">
        <v>729.0</v>
      </c>
      <c r="E789" s="5">
        <v>46058.0</v>
      </c>
      <c r="F789" s="6">
        <v>46146.0</v>
      </c>
      <c r="G789" s="8">
        <v>690523.0</v>
      </c>
      <c r="H789" s="2" t="s">
        <v>1567</v>
      </c>
      <c r="I789" s="2" t="s">
        <v>1568</v>
      </c>
    </row>
    <row r="790" ht="22.5" customHeight="1">
      <c r="A790" s="2">
        <v>789.0</v>
      </c>
      <c r="B790" s="2" t="s">
        <v>1565</v>
      </c>
      <c r="C790" s="2" t="s">
        <v>278</v>
      </c>
      <c r="D790" s="2">
        <v>1116.0</v>
      </c>
      <c r="E790" s="5">
        <v>46115.0</v>
      </c>
      <c r="F790" s="2" t="s">
        <v>279</v>
      </c>
      <c r="G790" s="8">
        <v>691862.0</v>
      </c>
      <c r="H790" s="8">
        <v>467664.0</v>
      </c>
      <c r="I790" s="2" t="s">
        <v>1569</v>
      </c>
    </row>
    <row r="791" ht="22.5" customHeight="1">
      <c r="A791" s="2">
        <v>790.0</v>
      </c>
      <c r="B791" s="2" t="s">
        <v>1570</v>
      </c>
      <c r="C791" s="2" t="s">
        <v>272</v>
      </c>
      <c r="D791" s="2">
        <v>3547.0</v>
      </c>
      <c r="E791" s="5">
        <v>46236.0</v>
      </c>
      <c r="F791" s="5">
        <v>46144.0</v>
      </c>
      <c r="G791" s="8">
        <v>2933415.0</v>
      </c>
      <c r="H791" s="8">
        <v>2544767.0</v>
      </c>
      <c r="I791" s="8" t="s">
        <v>1571</v>
      </c>
    </row>
    <row r="792" ht="22.5" customHeight="1">
      <c r="A792" s="2">
        <v>791.0</v>
      </c>
      <c r="B792" s="2" t="s">
        <v>1572</v>
      </c>
      <c r="C792" s="2" t="s">
        <v>272</v>
      </c>
      <c r="D792" s="2">
        <v>3097.0</v>
      </c>
      <c r="E792" s="5">
        <v>46236.0</v>
      </c>
      <c r="F792" s="5">
        <v>46144.0</v>
      </c>
      <c r="G792" s="8">
        <v>2473210.0</v>
      </c>
      <c r="H792" s="8">
        <v>2133869.0</v>
      </c>
      <c r="I792" s="2" t="s">
        <v>1573</v>
      </c>
    </row>
    <row r="793" ht="22.5" customHeight="1">
      <c r="A793" s="2">
        <v>792.0</v>
      </c>
      <c r="B793" s="2" t="s">
        <v>1572</v>
      </c>
      <c r="C793" s="2" t="s">
        <v>272</v>
      </c>
      <c r="D793" s="2">
        <v>3097.0</v>
      </c>
      <c r="E793" s="5">
        <v>46236.0</v>
      </c>
      <c r="F793" s="5">
        <v>46144.0</v>
      </c>
      <c r="G793" s="8">
        <v>2473210.0</v>
      </c>
      <c r="H793" s="8">
        <v>2133869.0</v>
      </c>
      <c r="I793" s="2" t="s">
        <v>1573</v>
      </c>
    </row>
    <row r="794" ht="22.5" customHeight="1">
      <c r="A794" s="2">
        <v>793.0</v>
      </c>
      <c r="B794" s="2" t="s">
        <v>1574</v>
      </c>
      <c r="C794" s="2" t="s">
        <v>269</v>
      </c>
      <c r="D794" s="2">
        <v>1179.0</v>
      </c>
      <c r="E794" s="5">
        <v>46058.0</v>
      </c>
      <c r="F794" s="6">
        <v>46146.0</v>
      </c>
      <c r="G794" s="8">
        <v>1545190.0</v>
      </c>
      <c r="H794" s="2" t="s">
        <v>1575</v>
      </c>
      <c r="I794" s="2" t="s">
        <v>1576</v>
      </c>
    </row>
    <row r="795" ht="22.5" customHeight="1">
      <c r="A795" s="2">
        <v>794.0</v>
      </c>
      <c r="B795" s="2" t="s">
        <v>1577</v>
      </c>
      <c r="C795" s="2" t="s">
        <v>272</v>
      </c>
      <c r="D795" s="2">
        <v>789.0</v>
      </c>
      <c r="E795" s="5">
        <v>46236.0</v>
      </c>
      <c r="F795" s="5">
        <v>46144.0</v>
      </c>
      <c r="G795" s="8">
        <v>112893.0</v>
      </c>
      <c r="H795" s="8">
        <v>26420.0</v>
      </c>
      <c r="I795" s="2" t="s">
        <v>1578</v>
      </c>
    </row>
    <row r="796" ht="22.5" customHeight="1">
      <c r="A796" s="2">
        <v>795.0</v>
      </c>
      <c r="B796" s="2" t="s">
        <v>1577</v>
      </c>
      <c r="C796" s="2" t="s">
        <v>317</v>
      </c>
      <c r="D796" s="2">
        <v>340.0</v>
      </c>
      <c r="E796" s="5">
        <v>46148.0</v>
      </c>
      <c r="F796" s="5">
        <v>46027.0</v>
      </c>
      <c r="G796" s="2">
        <v>2210.0</v>
      </c>
      <c r="H796" s="7">
        <v>1734.0</v>
      </c>
      <c r="I796" s="2">
        <v>476.0</v>
      </c>
    </row>
    <row r="797" ht="22.5" customHeight="1">
      <c r="A797" s="2">
        <v>796.0</v>
      </c>
      <c r="B797" s="2" t="s">
        <v>1577</v>
      </c>
      <c r="C797" s="2" t="s">
        <v>276</v>
      </c>
      <c r="D797" s="2">
        <v>527.0</v>
      </c>
      <c r="E797" s="5">
        <v>46057.0</v>
      </c>
      <c r="F797" s="5">
        <v>46115.0</v>
      </c>
      <c r="G797" s="8">
        <v>114413.0</v>
      </c>
      <c r="H797" s="8" t="s">
        <v>1579</v>
      </c>
      <c r="I797" s="2" t="s">
        <v>1580</v>
      </c>
    </row>
    <row r="798" ht="22.5" customHeight="1">
      <c r="A798" s="2">
        <v>797.0</v>
      </c>
      <c r="B798" s="2" t="s">
        <v>1581</v>
      </c>
      <c r="C798" s="2" t="s">
        <v>272</v>
      </c>
      <c r="D798" s="2">
        <v>9302.0</v>
      </c>
      <c r="E798" s="5">
        <v>46236.0</v>
      </c>
      <c r="F798" s="5">
        <v>46144.0</v>
      </c>
      <c r="G798" s="2" t="s">
        <v>1582</v>
      </c>
      <c r="H798" s="7">
        <v>23255.0</v>
      </c>
      <c r="I798" s="8">
        <v>325219.0</v>
      </c>
    </row>
    <row r="799" ht="22.5" customHeight="1">
      <c r="A799" s="2">
        <v>798.0</v>
      </c>
      <c r="B799" s="2" t="s">
        <v>1583</v>
      </c>
      <c r="C799" s="2" t="s">
        <v>287</v>
      </c>
      <c r="D799" s="2">
        <v>8666.0</v>
      </c>
      <c r="E799" s="5">
        <v>46152.0</v>
      </c>
      <c r="F799" s="5">
        <v>46241.0</v>
      </c>
      <c r="G799" s="2">
        <v>90993.0</v>
      </c>
      <c r="H799" s="2" t="s">
        <v>1584</v>
      </c>
      <c r="I799" s="2" t="s">
        <v>1585</v>
      </c>
    </row>
    <row r="800" ht="22.5" customHeight="1">
      <c r="A800" s="2">
        <v>799.0</v>
      </c>
      <c r="B800" s="2" t="s">
        <v>1583</v>
      </c>
      <c r="C800" s="2" t="s">
        <v>291</v>
      </c>
      <c r="D800" s="2">
        <v>13382.0</v>
      </c>
      <c r="E800" s="5">
        <v>46240.0</v>
      </c>
      <c r="F800" s="5">
        <v>46027.0</v>
      </c>
      <c r="G800" s="2" t="s">
        <v>1586</v>
      </c>
      <c r="H800" s="2" t="s">
        <v>1587</v>
      </c>
      <c r="I800" s="2" t="s">
        <v>1588</v>
      </c>
    </row>
    <row r="801" ht="22.5" customHeight="1">
      <c r="A801" s="2">
        <v>800.0</v>
      </c>
      <c r="B801" s="2" t="s">
        <v>1589</v>
      </c>
      <c r="C801" s="2" t="s">
        <v>317</v>
      </c>
      <c r="D801" s="2">
        <v>412.0</v>
      </c>
      <c r="E801" s="5">
        <v>46148.0</v>
      </c>
      <c r="F801" s="5">
        <v>46027.0</v>
      </c>
      <c r="G801" s="2">
        <v>2678.0</v>
      </c>
      <c r="H801" s="8">
        <v>73447.0</v>
      </c>
      <c r="I801" s="2" t="s">
        <v>1590</v>
      </c>
    </row>
    <row r="802" ht="22.5" customHeight="1">
      <c r="A802" s="2">
        <v>801.0</v>
      </c>
      <c r="B802" s="2" t="s">
        <v>1591</v>
      </c>
      <c r="C802" s="2" t="s">
        <v>317</v>
      </c>
      <c r="D802" s="2">
        <v>766.0</v>
      </c>
      <c r="E802" s="5">
        <v>46148.0</v>
      </c>
      <c r="F802" s="5">
        <v>46027.0</v>
      </c>
      <c r="G802" s="2">
        <v>4979.0</v>
      </c>
      <c r="H802" s="8">
        <v>732829.0</v>
      </c>
      <c r="I802" s="8" t="s">
        <v>1592</v>
      </c>
    </row>
    <row r="803" ht="22.5" customHeight="1">
      <c r="A803" s="2">
        <v>802.0</v>
      </c>
      <c r="B803" s="2" t="s">
        <v>1591</v>
      </c>
      <c r="C803" s="2" t="s">
        <v>272</v>
      </c>
      <c r="D803" s="2">
        <v>1778.0</v>
      </c>
      <c r="E803" s="5">
        <v>46236.0</v>
      </c>
      <c r="F803" s="5">
        <v>46144.0</v>
      </c>
      <c r="G803" s="8">
        <v>1124309.0</v>
      </c>
      <c r="H803" s="7">
        <v>4445.0</v>
      </c>
      <c r="I803" s="2" t="s">
        <v>696</v>
      </c>
    </row>
    <row r="804" ht="22.5" customHeight="1">
      <c r="A804" s="2">
        <v>803.0</v>
      </c>
      <c r="B804" s="2" t="s">
        <v>1591</v>
      </c>
      <c r="C804" s="2" t="s">
        <v>272</v>
      </c>
      <c r="D804" s="2">
        <v>1778.0</v>
      </c>
      <c r="E804" s="5">
        <v>46236.0</v>
      </c>
      <c r="F804" s="5">
        <v>46144.0</v>
      </c>
      <c r="G804" s="8">
        <v>1124309.0</v>
      </c>
      <c r="H804" s="7">
        <v>4445.0</v>
      </c>
      <c r="I804" s="2" t="s">
        <v>696</v>
      </c>
    </row>
    <row r="805" ht="22.5" customHeight="1">
      <c r="A805" s="2">
        <v>804.0</v>
      </c>
      <c r="B805" s="2" t="s">
        <v>1593</v>
      </c>
      <c r="C805" s="2" t="s">
        <v>272</v>
      </c>
      <c r="D805" s="2">
        <v>8505.0</v>
      </c>
      <c r="E805" s="5">
        <v>46236.0</v>
      </c>
      <c r="F805" s="5">
        <v>46144.0</v>
      </c>
      <c r="G805" s="2">
        <v>23814.0</v>
      </c>
      <c r="H805" s="2" t="s">
        <v>1594</v>
      </c>
      <c r="I805" s="8">
        <v>237895.0</v>
      </c>
    </row>
    <row r="806" ht="22.5" customHeight="1">
      <c r="A806" s="2">
        <v>805.0</v>
      </c>
      <c r="B806" s="2" t="s">
        <v>1595</v>
      </c>
      <c r="C806" s="2" t="s">
        <v>311</v>
      </c>
      <c r="D806" s="2">
        <v>1983.0</v>
      </c>
      <c r="E806" s="5">
        <v>46057.0</v>
      </c>
      <c r="F806" s="5">
        <v>46084.0</v>
      </c>
      <c r="G806" s="8">
        <v>2347932.0</v>
      </c>
      <c r="H806" s="8">
        <v>1696066.0</v>
      </c>
      <c r="I806" s="8" t="s">
        <v>1596</v>
      </c>
    </row>
    <row r="807" ht="22.5" customHeight="1">
      <c r="A807" s="2">
        <v>806.0</v>
      </c>
      <c r="B807" s="2" t="s">
        <v>1595</v>
      </c>
      <c r="C807" s="2" t="s">
        <v>311</v>
      </c>
      <c r="D807" s="2">
        <v>1984.0</v>
      </c>
      <c r="E807" s="5">
        <v>46057.0</v>
      </c>
      <c r="F807" s="5">
        <v>46084.0</v>
      </c>
      <c r="G807" s="8">
        <v>2349454.0</v>
      </c>
      <c r="H807" s="8">
        <v>1697315.0</v>
      </c>
      <c r="I807" s="8" t="s">
        <v>1597</v>
      </c>
    </row>
    <row r="808" ht="22.5" customHeight="1">
      <c r="A808" s="2">
        <v>807.0</v>
      </c>
      <c r="B808" s="2" t="s">
        <v>1595</v>
      </c>
      <c r="C808" s="2" t="s">
        <v>287</v>
      </c>
      <c r="D808" s="2">
        <v>793.0</v>
      </c>
      <c r="E808" s="5">
        <v>46152.0</v>
      </c>
      <c r="F808" s="5">
        <v>46241.0</v>
      </c>
      <c r="G808" s="8">
        <v>2347170.0</v>
      </c>
      <c r="H808" s="8">
        <v>1565157.0</v>
      </c>
      <c r="I808" s="8">
        <v>88026.0</v>
      </c>
    </row>
    <row r="809" ht="22.5" customHeight="1">
      <c r="A809" s="2">
        <v>808.0</v>
      </c>
      <c r="B809" s="2" t="s">
        <v>1598</v>
      </c>
      <c r="C809" s="2" t="s">
        <v>269</v>
      </c>
      <c r="D809" s="2">
        <v>1345.0</v>
      </c>
      <c r="E809" s="5">
        <v>46058.0</v>
      </c>
      <c r="F809" s="6">
        <v>46146.0</v>
      </c>
      <c r="G809" s="2">
        <v>6994.0</v>
      </c>
      <c r="H809" s="2" t="s">
        <v>1599</v>
      </c>
      <c r="I809" s="2" t="s">
        <v>1600</v>
      </c>
    </row>
    <row r="810" ht="22.5" customHeight="1">
      <c r="A810" s="2">
        <v>809.0</v>
      </c>
      <c r="B810" s="2" t="s">
        <v>1601</v>
      </c>
      <c r="C810" s="2" t="s">
        <v>272</v>
      </c>
      <c r="D810" s="2">
        <v>2802.0</v>
      </c>
      <c r="E810" s="5">
        <v>46236.0</v>
      </c>
      <c r="F810" s="5">
        <v>46144.0</v>
      </c>
      <c r="G810" s="8">
        <v>2171520.0</v>
      </c>
      <c r="H810" s="7">
        <v>7005.0</v>
      </c>
      <c r="I810" s="2" t="s">
        <v>1602</v>
      </c>
    </row>
    <row r="811" ht="22.5" customHeight="1">
      <c r="A811" s="2">
        <v>810.0</v>
      </c>
      <c r="B811" s="2" t="s">
        <v>1601</v>
      </c>
      <c r="C811" s="2" t="s">
        <v>272</v>
      </c>
      <c r="D811" s="2">
        <v>2802.0</v>
      </c>
      <c r="E811" s="5">
        <v>46236.0</v>
      </c>
      <c r="F811" s="5">
        <v>46144.0</v>
      </c>
      <c r="G811" s="8">
        <v>2171520.0</v>
      </c>
      <c r="H811" s="7">
        <v>7005.0</v>
      </c>
      <c r="I811" s="2" t="s">
        <v>1602</v>
      </c>
    </row>
    <row r="812" ht="22.5" customHeight="1">
      <c r="A812" s="2">
        <v>811.0</v>
      </c>
      <c r="B812" s="2" t="s">
        <v>1603</v>
      </c>
      <c r="C812" s="2" t="s">
        <v>278</v>
      </c>
      <c r="D812" s="2">
        <v>2606.0</v>
      </c>
      <c r="E812" s="5">
        <v>46115.0</v>
      </c>
      <c r="F812" s="2" t="s">
        <v>279</v>
      </c>
      <c r="G812" s="8">
        <v>2542181.0</v>
      </c>
      <c r="H812" s="8">
        <v>2018697.0</v>
      </c>
      <c r="I812" s="8" t="s">
        <v>1604</v>
      </c>
    </row>
    <row r="813" ht="22.5" customHeight="1">
      <c r="A813" s="2">
        <v>812.0</v>
      </c>
      <c r="B813" s="2" t="s">
        <v>1603</v>
      </c>
      <c r="C813" s="2" t="s">
        <v>269</v>
      </c>
      <c r="D813" s="2">
        <v>1704.0</v>
      </c>
      <c r="E813" s="5">
        <v>46058.0</v>
      </c>
      <c r="F813" s="6">
        <v>46146.0</v>
      </c>
      <c r="G813" s="8">
        <v>2542303.0</v>
      </c>
      <c r="H813" s="8">
        <v>1826611.0</v>
      </c>
      <c r="I813" s="8">
        <v>21702.0</v>
      </c>
    </row>
    <row r="814" ht="22.5" customHeight="1">
      <c r="A814" s="2">
        <v>813.0</v>
      </c>
      <c r="B814" s="2" t="s">
        <v>1605</v>
      </c>
      <c r="C814" s="2" t="s">
        <v>269</v>
      </c>
      <c r="D814" s="2">
        <v>288.0</v>
      </c>
      <c r="E814" s="5">
        <v>46058.0</v>
      </c>
      <c r="F814" s="6">
        <v>46146.0</v>
      </c>
      <c r="G814" s="8" t="s">
        <v>1606</v>
      </c>
      <c r="H814" s="8" t="s">
        <v>1607</v>
      </c>
      <c r="I814" s="2" t="s">
        <v>1608</v>
      </c>
    </row>
    <row r="815" ht="22.5" customHeight="1">
      <c r="A815" s="2">
        <v>814.0</v>
      </c>
      <c r="B815" s="2" t="s">
        <v>1605</v>
      </c>
      <c r="C815" s="2" t="s">
        <v>270</v>
      </c>
      <c r="D815" s="2">
        <v>183.0</v>
      </c>
      <c r="E815" s="5">
        <v>46061.0</v>
      </c>
      <c r="F815" s="5">
        <v>46059.0</v>
      </c>
      <c r="G815" s="8" t="s">
        <v>1609</v>
      </c>
      <c r="H815" s="8" t="s">
        <v>1610</v>
      </c>
      <c r="I815" s="2">
        <v>366.0</v>
      </c>
    </row>
    <row r="816" ht="22.5" customHeight="1">
      <c r="A816" s="2">
        <v>815.0</v>
      </c>
      <c r="B816" s="2" t="s">
        <v>1605</v>
      </c>
      <c r="C816" s="2" t="s">
        <v>278</v>
      </c>
      <c r="D816" s="2">
        <v>440.0</v>
      </c>
      <c r="E816" s="5">
        <v>46115.0</v>
      </c>
      <c r="F816" s="2" t="s">
        <v>279</v>
      </c>
      <c r="G816" s="2">
        <v>1496.0</v>
      </c>
      <c r="H816" s="7">
        <v>1254.0</v>
      </c>
      <c r="I816" s="2">
        <v>242.0</v>
      </c>
    </row>
    <row r="817" ht="22.5" customHeight="1">
      <c r="A817" s="2">
        <v>816.0</v>
      </c>
      <c r="B817" s="2" t="s">
        <v>1611</v>
      </c>
      <c r="C817" s="2" t="s">
        <v>272</v>
      </c>
      <c r="D817" s="2">
        <v>916.0</v>
      </c>
      <c r="E817" s="5">
        <v>46236.0</v>
      </c>
      <c r="F817" s="5">
        <v>46144.0</v>
      </c>
      <c r="G817" s="8">
        <v>242736.0</v>
      </c>
      <c r="H817" s="7">
        <v>2290.0</v>
      </c>
      <c r="I817" s="2" t="s">
        <v>1612</v>
      </c>
    </row>
    <row r="818" ht="22.5" customHeight="1">
      <c r="A818" s="2">
        <v>817.0</v>
      </c>
      <c r="B818" s="2" t="s">
        <v>1611</v>
      </c>
      <c r="C818" s="2" t="s">
        <v>276</v>
      </c>
      <c r="D818" s="2">
        <v>611.0</v>
      </c>
      <c r="E818" s="5">
        <v>46057.0</v>
      </c>
      <c r="F818" s="5">
        <v>46115.0</v>
      </c>
      <c r="G818" s="8">
        <v>243285.0</v>
      </c>
      <c r="H818" s="8">
        <v>64741.0</v>
      </c>
      <c r="I818" s="2" t="s">
        <v>1613</v>
      </c>
    </row>
    <row r="819" ht="22.5" customHeight="1">
      <c r="A819" s="2">
        <v>818.0</v>
      </c>
      <c r="B819" s="2" t="s">
        <v>1611</v>
      </c>
      <c r="C819" s="2" t="s">
        <v>272</v>
      </c>
      <c r="D819" s="2">
        <v>916.0</v>
      </c>
      <c r="E819" s="5">
        <v>46236.0</v>
      </c>
      <c r="F819" s="5">
        <v>46144.0</v>
      </c>
      <c r="G819" s="8">
        <v>242736.0</v>
      </c>
      <c r="H819" s="7">
        <v>2290.0</v>
      </c>
      <c r="I819" s="2" t="s">
        <v>1612</v>
      </c>
    </row>
    <row r="820" ht="22.5" customHeight="1">
      <c r="A820" s="2">
        <v>819.0</v>
      </c>
      <c r="B820" s="2" t="s">
        <v>1614</v>
      </c>
      <c r="C820" s="2" t="s">
        <v>278</v>
      </c>
      <c r="D820" s="2">
        <v>592.0</v>
      </c>
      <c r="E820" s="5">
        <v>46115.0</v>
      </c>
      <c r="F820" s="2" t="s">
        <v>279</v>
      </c>
      <c r="G820" s="8">
        <v>41122.0</v>
      </c>
      <c r="H820" s="8" t="s">
        <v>1615</v>
      </c>
      <c r="I820" s="2" t="s">
        <v>1616</v>
      </c>
    </row>
    <row r="821" ht="22.5" customHeight="1">
      <c r="A821" s="2">
        <v>820.0</v>
      </c>
      <c r="B821" s="2" t="s">
        <v>1614</v>
      </c>
      <c r="C821" s="2" t="s">
        <v>278</v>
      </c>
      <c r="D821" s="2">
        <v>592.0</v>
      </c>
      <c r="E821" s="5">
        <v>46115.0</v>
      </c>
      <c r="F821" s="2" t="s">
        <v>279</v>
      </c>
      <c r="G821" s="8">
        <v>41122.0</v>
      </c>
      <c r="H821" s="8" t="s">
        <v>1615</v>
      </c>
      <c r="I821" s="2" t="s">
        <v>1616</v>
      </c>
    </row>
    <row r="822" ht="22.5" customHeight="1">
      <c r="A822" s="2">
        <v>821.0</v>
      </c>
      <c r="B822" s="2" t="s">
        <v>1614</v>
      </c>
      <c r="C822" s="2" t="s">
        <v>278</v>
      </c>
      <c r="D822" s="2">
        <v>593.0</v>
      </c>
      <c r="E822" s="5">
        <v>46115.0</v>
      </c>
      <c r="F822" s="2" t="s">
        <v>279</v>
      </c>
      <c r="G822" s="8">
        <v>42401.0</v>
      </c>
      <c r="H822" s="9" t="s">
        <v>1617</v>
      </c>
      <c r="I822" s="2" t="s">
        <v>1618</v>
      </c>
    </row>
    <row r="823" ht="22.5" customHeight="1">
      <c r="A823" s="2">
        <v>822.0</v>
      </c>
      <c r="B823" s="2" t="s">
        <v>1619</v>
      </c>
      <c r="C823" s="2" t="s">
        <v>272</v>
      </c>
      <c r="D823" s="2">
        <v>1154.0</v>
      </c>
      <c r="E823" s="5">
        <v>46236.0</v>
      </c>
      <c r="F823" s="5">
        <v>46144.0</v>
      </c>
      <c r="G823" s="8">
        <v>486171.0</v>
      </c>
      <c r="H823" s="7">
        <v>2885.0</v>
      </c>
      <c r="I823" s="2" t="s">
        <v>1620</v>
      </c>
    </row>
    <row r="824" ht="22.5" customHeight="1">
      <c r="A824" s="2">
        <v>823.0</v>
      </c>
      <c r="B824" s="2" t="s">
        <v>1619</v>
      </c>
      <c r="C824" s="2" t="s">
        <v>272</v>
      </c>
      <c r="D824" s="2">
        <v>1155.0</v>
      </c>
      <c r="E824" s="5">
        <v>46236.0</v>
      </c>
      <c r="F824" s="5">
        <v>46144.0</v>
      </c>
      <c r="G824" s="2">
        <v>3234.0</v>
      </c>
      <c r="H824" s="8">
        <v>360617.0</v>
      </c>
      <c r="I824" s="2" t="s">
        <v>1621</v>
      </c>
    </row>
    <row r="825" ht="22.5" customHeight="1">
      <c r="A825" s="2">
        <v>824.0</v>
      </c>
      <c r="B825" s="2" t="s">
        <v>1622</v>
      </c>
      <c r="C825" s="2" t="s">
        <v>272</v>
      </c>
      <c r="D825" s="2">
        <v>1221.0</v>
      </c>
      <c r="E825" s="5">
        <v>46236.0</v>
      </c>
      <c r="F825" s="5">
        <v>46144.0</v>
      </c>
      <c r="G825" s="8">
        <v>554652.0</v>
      </c>
      <c r="H825" s="8">
        <v>420882.0</v>
      </c>
      <c r="I825" s="2" t="s">
        <v>1623</v>
      </c>
    </row>
    <row r="826" ht="22.5" customHeight="1">
      <c r="A826" s="2">
        <v>825.0</v>
      </c>
      <c r="B826" s="2" t="s">
        <v>1622</v>
      </c>
      <c r="C826" s="2" t="s">
        <v>272</v>
      </c>
      <c r="D826" s="2">
        <v>1221.0</v>
      </c>
      <c r="E826" s="5">
        <v>46236.0</v>
      </c>
      <c r="F826" s="5">
        <v>46144.0</v>
      </c>
      <c r="G826" s="8">
        <v>554652.0</v>
      </c>
      <c r="H826" s="8">
        <v>420882.0</v>
      </c>
      <c r="I826" s="2" t="s">
        <v>1623</v>
      </c>
    </row>
    <row r="827" ht="22.5" customHeight="1">
      <c r="A827" s="2">
        <v>826.0</v>
      </c>
      <c r="B827" s="2" t="s">
        <v>1622</v>
      </c>
      <c r="C827" s="2" t="s">
        <v>272</v>
      </c>
      <c r="D827" s="2">
        <v>1220.0</v>
      </c>
      <c r="E827" s="5">
        <v>46236.0</v>
      </c>
      <c r="F827" s="5">
        <v>46144.0</v>
      </c>
      <c r="G827" s="2">
        <v>3416.0</v>
      </c>
      <c r="H827" s="7">
        <v>3050.0</v>
      </c>
      <c r="I827" s="2">
        <v>366.0</v>
      </c>
    </row>
    <row r="828" ht="22.5" customHeight="1">
      <c r="A828" s="2">
        <v>827.0</v>
      </c>
      <c r="B828" s="2" t="s">
        <v>1624</v>
      </c>
      <c r="C828" s="2" t="s">
        <v>270</v>
      </c>
      <c r="D828" s="2">
        <v>15234.0</v>
      </c>
      <c r="E828" s="5">
        <v>46061.0</v>
      </c>
      <c r="F828" s="5">
        <v>46059.0</v>
      </c>
      <c r="G828" s="2" t="s">
        <v>1625</v>
      </c>
      <c r="H828" s="2" t="s">
        <v>1626</v>
      </c>
      <c r="I828" s="2">
        <v>30468.0</v>
      </c>
    </row>
    <row r="829" ht="22.5" customHeight="1">
      <c r="A829" s="2">
        <v>828.0</v>
      </c>
      <c r="B829" s="2" t="s">
        <v>1627</v>
      </c>
      <c r="C829" s="2" t="s">
        <v>269</v>
      </c>
      <c r="D829" s="2">
        <v>2593.0</v>
      </c>
      <c r="E829" s="5">
        <v>46058.0</v>
      </c>
      <c r="F829" s="6">
        <v>46146.0</v>
      </c>
      <c r="G829" s="2" t="s">
        <v>1628</v>
      </c>
      <c r="H829" s="2" t="s">
        <v>1629</v>
      </c>
      <c r="I829" s="2" t="s">
        <v>1630</v>
      </c>
    </row>
    <row r="830" ht="22.5" customHeight="1">
      <c r="A830" s="2">
        <v>829.0</v>
      </c>
      <c r="B830" s="2" t="s">
        <v>1627</v>
      </c>
      <c r="C830" s="2" t="s">
        <v>278</v>
      </c>
      <c r="D830" s="2">
        <v>3967.0</v>
      </c>
      <c r="E830" s="5">
        <v>46115.0</v>
      </c>
      <c r="F830" s="2" t="s">
        <v>279</v>
      </c>
      <c r="G830" s="2" t="s">
        <v>1631</v>
      </c>
      <c r="H830" s="2" t="s">
        <v>1632</v>
      </c>
      <c r="I830" s="2" t="s">
        <v>1633</v>
      </c>
    </row>
    <row r="831" ht="22.5" customHeight="1">
      <c r="A831" s="2">
        <v>830.0</v>
      </c>
      <c r="B831" s="2" t="s">
        <v>1627</v>
      </c>
      <c r="C831" s="2" t="s">
        <v>278</v>
      </c>
      <c r="D831" s="2">
        <v>3966.0</v>
      </c>
      <c r="E831" s="5">
        <v>46115.0</v>
      </c>
      <c r="F831" s="2" t="s">
        <v>279</v>
      </c>
      <c r="G831" s="2" t="s">
        <v>1634</v>
      </c>
      <c r="H831" s="2" t="s">
        <v>1635</v>
      </c>
      <c r="I831" s="8">
        <v>102695.0</v>
      </c>
    </row>
    <row r="832" ht="22.5" customHeight="1">
      <c r="A832" s="2">
        <v>831.0</v>
      </c>
      <c r="B832" s="2" t="s">
        <v>1636</v>
      </c>
      <c r="C832" s="2" t="s">
        <v>272</v>
      </c>
      <c r="D832" s="2">
        <v>3160.0</v>
      </c>
      <c r="E832" s="5">
        <v>46236.0</v>
      </c>
      <c r="F832" s="5">
        <v>46144.0</v>
      </c>
      <c r="G832" s="2">
        <v>8848.0</v>
      </c>
      <c r="H832" s="7">
        <v>7900.0</v>
      </c>
      <c r="I832" s="2">
        <v>948.0</v>
      </c>
    </row>
    <row r="833" ht="22.5" customHeight="1">
      <c r="A833" s="2">
        <v>832.0</v>
      </c>
      <c r="B833" s="2" t="s">
        <v>1637</v>
      </c>
      <c r="C833" s="2" t="s">
        <v>272</v>
      </c>
      <c r="D833" s="2">
        <v>416.0</v>
      </c>
      <c r="E833" s="5">
        <v>46236.0</v>
      </c>
      <c r="F833" s="5">
        <v>46144.0</v>
      </c>
      <c r="G833" s="8" t="s">
        <v>1638</v>
      </c>
      <c r="H833" s="7">
        <v>1040.0</v>
      </c>
      <c r="I833" s="2" t="s">
        <v>1639</v>
      </c>
    </row>
    <row r="834" ht="22.5" customHeight="1">
      <c r="A834" s="2">
        <v>833.0</v>
      </c>
      <c r="B834" s="2" t="s">
        <v>1637</v>
      </c>
      <c r="C834" s="2" t="s">
        <v>276</v>
      </c>
      <c r="D834" s="2">
        <v>277.0</v>
      </c>
      <c r="E834" s="5">
        <v>46057.0</v>
      </c>
      <c r="F834" s="5">
        <v>46115.0</v>
      </c>
      <c r="G834" s="8" t="s">
        <v>1640</v>
      </c>
      <c r="H834" s="2" t="s">
        <v>1641</v>
      </c>
      <c r="I834" s="2" t="s">
        <v>1642</v>
      </c>
    </row>
    <row r="835" ht="22.5" customHeight="1">
      <c r="A835" s="2">
        <v>834.0</v>
      </c>
      <c r="B835" s="2" t="s">
        <v>1637</v>
      </c>
      <c r="C835" s="2" t="s">
        <v>272</v>
      </c>
      <c r="D835" s="2">
        <v>417.0</v>
      </c>
      <c r="E835" s="5">
        <v>46236.0</v>
      </c>
      <c r="F835" s="5">
        <v>46144.0</v>
      </c>
      <c r="G835" s="8" t="s">
        <v>1643</v>
      </c>
      <c r="H835" s="8" t="s">
        <v>1644</v>
      </c>
      <c r="I835" s="2" t="s">
        <v>1645</v>
      </c>
    </row>
    <row r="836" ht="22.5" customHeight="1">
      <c r="A836" s="2">
        <v>835.0</v>
      </c>
      <c r="B836" s="2" t="s">
        <v>1646</v>
      </c>
      <c r="C836" s="2" t="s">
        <v>272</v>
      </c>
      <c r="D836" s="2">
        <v>3644.0</v>
      </c>
      <c r="E836" s="5">
        <v>46236.0</v>
      </c>
      <c r="F836" s="5">
        <v>46144.0</v>
      </c>
      <c r="G836" s="2" t="s">
        <v>1647</v>
      </c>
      <c r="H836" s="7">
        <v>9110.0</v>
      </c>
      <c r="I836" s="8" t="s">
        <v>1648</v>
      </c>
    </row>
    <row r="837" ht="22.5" customHeight="1">
      <c r="A837" s="2">
        <v>836.0</v>
      </c>
      <c r="B837" s="2" t="s">
        <v>1649</v>
      </c>
      <c r="C837" s="2" t="s">
        <v>272</v>
      </c>
      <c r="D837" s="2">
        <v>957.0</v>
      </c>
      <c r="E837" s="5">
        <v>46236.0</v>
      </c>
      <c r="F837" s="5">
        <v>46144.0</v>
      </c>
      <c r="G837" s="8">
        <v>284677.0</v>
      </c>
      <c r="H837" s="8">
        <v>179822.0</v>
      </c>
      <c r="I837" s="2" t="s">
        <v>1378</v>
      </c>
    </row>
    <row r="838" ht="22.5" customHeight="1">
      <c r="A838" s="2">
        <v>837.0</v>
      </c>
      <c r="B838" s="2" t="s">
        <v>1649</v>
      </c>
      <c r="C838" s="2" t="s">
        <v>317</v>
      </c>
      <c r="D838" s="2">
        <v>412.0</v>
      </c>
      <c r="E838" s="5">
        <v>46148.0</v>
      </c>
      <c r="F838" s="5">
        <v>46027.0</v>
      </c>
      <c r="G838" s="2">
        <v>2678.0</v>
      </c>
      <c r="H838" s="8">
        <v>73447.0</v>
      </c>
      <c r="I838" s="2" t="s">
        <v>1590</v>
      </c>
    </row>
    <row r="839" ht="22.5" customHeight="1">
      <c r="A839" s="2">
        <v>838.0</v>
      </c>
      <c r="B839" s="2" t="s">
        <v>1650</v>
      </c>
      <c r="C839" s="2" t="s">
        <v>317</v>
      </c>
      <c r="D839" s="2">
        <v>949.0</v>
      </c>
      <c r="E839" s="5">
        <v>46148.0</v>
      </c>
      <c r="F839" s="5">
        <v>46027.0</v>
      </c>
      <c r="G839" s="8">
        <v>1558978.0</v>
      </c>
      <c r="H839" s="8">
        <v>1073693.0</v>
      </c>
      <c r="I839" s="8" t="s">
        <v>1651</v>
      </c>
    </row>
    <row r="840" ht="22.5" customHeight="1">
      <c r="A840" s="2">
        <v>839.0</v>
      </c>
      <c r="B840" s="2" t="s">
        <v>1652</v>
      </c>
      <c r="C840" s="2" t="s">
        <v>317</v>
      </c>
      <c r="D840" s="2">
        <v>262.0</v>
      </c>
      <c r="E840" s="5">
        <v>46148.0</v>
      </c>
      <c r="F840" s="5">
        <v>46027.0</v>
      </c>
      <c r="G840" s="2">
        <v>1703.0</v>
      </c>
      <c r="H840" s="8" t="s">
        <v>344</v>
      </c>
      <c r="I840" s="2" t="s">
        <v>345</v>
      </c>
    </row>
    <row r="841" ht="22.5" customHeight="1">
      <c r="A841" s="2">
        <v>840.0</v>
      </c>
      <c r="B841" s="2" t="s">
        <v>1652</v>
      </c>
      <c r="C841" s="2" t="s">
        <v>272</v>
      </c>
      <c r="D841" s="2">
        <v>608.0</v>
      </c>
      <c r="E841" s="5">
        <v>46236.0</v>
      </c>
      <c r="F841" s="5">
        <v>46144.0</v>
      </c>
      <c r="G841" s="8" t="s">
        <v>1653</v>
      </c>
      <c r="H841" s="7">
        <v>1520.0</v>
      </c>
      <c r="I841" s="2" t="s">
        <v>1654</v>
      </c>
    </row>
    <row r="842" ht="22.5" customHeight="1">
      <c r="A842" s="2">
        <v>841.0</v>
      </c>
      <c r="B842" s="2" t="s">
        <v>1652</v>
      </c>
      <c r="C842" s="2" t="s">
        <v>272</v>
      </c>
      <c r="D842" s="2">
        <v>608.0</v>
      </c>
      <c r="E842" s="5">
        <v>46236.0</v>
      </c>
      <c r="F842" s="5">
        <v>46144.0</v>
      </c>
      <c r="G842" s="8" t="s">
        <v>1653</v>
      </c>
      <c r="H842" s="7">
        <v>1520.0</v>
      </c>
      <c r="I842" s="2" t="s">
        <v>1654</v>
      </c>
    </row>
    <row r="843" ht="22.5" customHeight="1">
      <c r="A843" s="2">
        <v>842.0</v>
      </c>
      <c r="B843" s="2" t="s">
        <v>1655</v>
      </c>
      <c r="C843" s="2" t="s">
        <v>317</v>
      </c>
      <c r="D843" s="2">
        <v>1910.0</v>
      </c>
      <c r="E843" s="5">
        <v>46148.0</v>
      </c>
      <c r="F843" s="5">
        <v>46027.0</v>
      </c>
      <c r="G843" s="2">
        <v>12415.0</v>
      </c>
      <c r="H843" s="7">
        <v>9741.0</v>
      </c>
      <c r="I843" s="2">
        <v>2674.0</v>
      </c>
    </row>
    <row r="844" ht="22.5" customHeight="1">
      <c r="A844" s="2">
        <v>843.0</v>
      </c>
      <c r="B844" s="2" t="s">
        <v>1655</v>
      </c>
      <c r="C844" s="2" t="s">
        <v>317</v>
      </c>
      <c r="D844" s="2">
        <v>1911.0</v>
      </c>
      <c r="E844" s="5">
        <v>46148.0</v>
      </c>
      <c r="F844" s="5">
        <v>46027.0</v>
      </c>
      <c r="G844" s="2" t="s">
        <v>1656</v>
      </c>
      <c r="H844" s="8">
        <v>2865695.0</v>
      </c>
      <c r="I844" s="8">
        <v>283155.0</v>
      </c>
    </row>
    <row r="845" ht="22.5" customHeight="1">
      <c r="A845" s="2">
        <v>844.0</v>
      </c>
      <c r="B845" s="2" t="s">
        <v>1657</v>
      </c>
      <c r="C845" s="2" t="s">
        <v>272</v>
      </c>
      <c r="D845" s="2">
        <v>1336.0</v>
      </c>
      <c r="E845" s="5">
        <v>46236.0</v>
      </c>
      <c r="F845" s="5">
        <v>46144.0</v>
      </c>
      <c r="G845" s="8">
        <v>672261.0</v>
      </c>
      <c r="H845" s="7">
        <v>3340.0</v>
      </c>
      <c r="I845" s="2" t="s">
        <v>1658</v>
      </c>
    </row>
    <row r="846" ht="22.5" customHeight="1">
      <c r="A846" s="2">
        <v>845.0</v>
      </c>
      <c r="B846" s="2" t="s">
        <v>1657</v>
      </c>
      <c r="C846" s="2" t="s">
        <v>276</v>
      </c>
      <c r="D846" s="2">
        <v>891.0</v>
      </c>
      <c r="E846" s="5">
        <v>46057.0</v>
      </c>
      <c r="F846" s="5">
        <v>46115.0</v>
      </c>
      <c r="G846" s="8">
        <v>672810.0</v>
      </c>
      <c r="H846" s="8">
        <v>412451.0</v>
      </c>
      <c r="I846" s="2" t="s">
        <v>1659</v>
      </c>
    </row>
    <row r="847" ht="22.5" customHeight="1">
      <c r="A847" s="2">
        <v>846.0</v>
      </c>
      <c r="B847" s="2" t="s">
        <v>1660</v>
      </c>
      <c r="C847" s="2" t="s">
        <v>276</v>
      </c>
      <c r="D847" s="2">
        <v>1949.0</v>
      </c>
      <c r="E847" s="5">
        <v>46057.0</v>
      </c>
      <c r="F847" s="5">
        <v>46115.0</v>
      </c>
      <c r="G847" s="8">
        <v>2295764.0</v>
      </c>
      <c r="H847" s="8">
        <v>1726289.0</v>
      </c>
      <c r="I847" s="8" t="s">
        <v>1661</v>
      </c>
    </row>
    <row r="848" ht="22.5" customHeight="1">
      <c r="A848" s="2">
        <v>847.0</v>
      </c>
      <c r="B848" s="2" t="s">
        <v>1662</v>
      </c>
      <c r="C848" s="2" t="s">
        <v>291</v>
      </c>
      <c r="D848" s="2">
        <v>1099.0</v>
      </c>
      <c r="E848" s="5">
        <v>46240.0</v>
      </c>
      <c r="F848" s="5">
        <v>46027.0</v>
      </c>
      <c r="G848" s="8">
        <v>2035530.0</v>
      </c>
      <c r="H848" s="8">
        <v>1353104.0</v>
      </c>
      <c r="I848" s="8" t="s">
        <v>1663</v>
      </c>
    </row>
    <row r="849" ht="22.5" customHeight="1">
      <c r="A849" s="2">
        <v>848.0</v>
      </c>
      <c r="B849" s="2" t="s">
        <v>1664</v>
      </c>
      <c r="C849" s="2" t="s">
        <v>272</v>
      </c>
      <c r="D849" s="2">
        <v>720.0</v>
      </c>
      <c r="E849" s="5">
        <v>46236.0</v>
      </c>
      <c r="F849" s="5">
        <v>46144.0</v>
      </c>
      <c r="G849" s="2">
        <v>2016.0</v>
      </c>
      <c r="H849" s="7">
        <v>1800.0</v>
      </c>
      <c r="I849" s="2">
        <v>216.0</v>
      </c>
    </row>
    <row r="850" ht="22.5" customHeight="1">
      <c r="A850" s="2">
        <v>849.0</v>
      </c>
      <c r="B850" s="2" t="s">
        <v>1664</v>
      </c>
      <c r="C850" s="2" t="s">
        <v>276</v>
      </c>
      <c r="D850" s="2">
        <v>480.0</v>
      </c>
      <c r="E850" s="5">
        <v>46057.0</v>
      </c>
      <c r="F850" s="5">
        <v>46115.0</v>
      </c>
      <c r="G850" s="2">
        <v>2016.0</v>
      </c>
      <c r="H850" s="7">
        <v>1632.0</v>
      </c>
      <c r="I850" s="2">
        <v>384.0</v>
      </c>
    </row>
    <row r="851" ht="22.5" customHeight="1">
      <c r="A851" s="2">
        <v>850.0</v>
      </c>
      <c r="B851" s="2" t="s">
        <v>1664</v>
      </c>
      <c r="C851" s="2" t="s">
        <v>272</v>
      </c>
      <c r="D851" s="2">
        <v>719.0</v>
      </c>
      <c r="E851" s="5">
        <v>46236.0</v>
      </c>
      <c r="F851" s="5">
        <v>46144.0</v>
      </c>
      <c r="G851" s="8">
        <v>41306.0</v>
      </c>
      <c r="H851" s="8" t="s">
        <v>1665</v>
      </c>
      <c r="I851" s="2" t="s">
        <v>1666</v>
      </c>
    </row>
    <row r="852" ht="22.5" customHeight="1">
      <c r="A852" s="2">
        <v>851.0</v>
      </c>
      <c r="B852" s="2" t="s">
        <v>1667</v>
      </c>
      <c r="C852" s="2" t="s">
        <v>311</v>
      </c>
      <c r="D852" s="2">
        <v>21345.0</v>
      </c>
      <c r="E852" s="5">
        <v>46057.0</v>
      </c>
      <c r="F852" s="5">
        <v>46084.0</v>
      </c>
      <c r="G852" s="2">
        <v>89649.0</v>
      </c>
      <c r="H852" s="2" t="s">
        <v>1668</v>
      </c>
      <c r="I852" s="2" t="s">
        <v>1669</v>
      </c>
    </row>
    <row r="853" ht="22.5" customHeight="1">
      <c r="A853" s="2">
        <v>852.0</v>
      </c>
      <c r="B853" s="2" t="s">
        <v>1670</v>
      </c>
      <c r="C853" s="2" t="s">
        <v>269</v>
      </c>
      <c r="D853" s="2">
        <v>655.0</v>
      </c>
      <c r="E853" s="5">
        <v>46058.0</v>
      </c>
      <c r="F853" s="6">
        <v>46146.0</v>
      </c>
      <c r="G853" s="2">
        <v>3406.0</v>
      </c>
      <c r="H853" s="2" t="s">
        <v>1671</v>
      </c>
      <c r="I853" s="2" t="s">
        <v>1672</v>
      </c>
    </row>
    <row r="854" ht="22.5" customHeight="1">
      <c r="A854" s="2">
        <v>853.0</v>
      </c>
      <c r="B854" s="2" t="s">
        <v>1670</v>
      </c>
      <c r="C854" s="2" t="s">
        <v>278</v>
      </c>
      <c r="D854" s="2">
        <v>1003.0</v>
      </c>
      <c r="E854" s="5">
        <v>46115.0</v>
      </c>
      <c r="F854" s="2" t="s">
        <v>279</v>
      </c>
      <c r="G854" s="8">
        <v>551549.0</v>
      </c>
      <c r="H854" s="2" t="s">
        <v>1673</v>
      </c>
      <c r="I854" s="2" t="s">
        <v>1674</v>
      </c>
    </row>
    <row r="855" ht="22.5" customHeight="1">
      <c r="A855" s="2">
        <v>854.0</v>
      </c>
      <c r="B855" s="2" t="s">
        <v>1675</v>
      </c>
      <c r="C855" s="2" t="s">
        <v>272</v>
      </c>
      <c r="D855" s="2">
        <v>2681.0</v>
      </c>
      <c r="E855" s="5">
        <v>46236.0</v>
      </c>
      <c r="F855" s="5">
        <v>46144.0</v>
      </c>
      <c r="G855" s="8">
        <v>2047763.0</v>
      </c>
      <c r="H855" s="8">
        <v>1754016.0</v>
      </c>
      <c r="I855" s="2" t="s">
        <v>1676</v>
      </c>
    </row>
    <row r="856" ht="22.5" customHeight="1">
      <c r="A856" s="2">
        <v>855.0</v>
      </c>
      <c r="B856" s="2" t="s">
        <v>1675</v>
      </c>
      <c r="C856" s="2" t="s">
        <v>272</v>
      </c>
      <c r="D856" s="2">
        <v>2681.0</v>
      </c>
      <c r="E856" s="5">
        <v>46236.0</v>
      </c>
      <c r="F856" s="5">
        <v>46144.0</v>
      </c>
      <c r="G856" s="8">
        <v>2047763.0</v>
      </c>
      <c r="H856" s="8">
        <v>1754016.0</v>
      </c>
      <c r="I856" s="2" t="s">
        <v>1676</v>
      </c>
    </row>
    <row r="857" ht="22.5" customHeight="1">
      <c r="A857" s="2">
        <v>856.0</v>
      </c>
      <c r="B857" s="2" t="s">
        <v>1675</v>
      </c>
      <c r="C857" s="2" t="s">
        <v>317</v>
      </c>
      <c r="D857" s="2">
        <v>1155.0</v>
      </c>
      <c r="E857" s="5">
        <v>46148.0</v>
      </c>
      <c r="F857" s="5">
        <v>46027.0</v>
      </c>
      <c r="G857" s="8">
        <v>2048036.0</v>
      </c>
      <c r="H857" s="8">
        <v>1457440.0</v>
      </c>
      <c r="I857" s="2">
        <v>1617.0</v>
      </c>
    </row>
    <row r="858" ht="22.5" customHeight="1">
      <c r="A858" s="2">
        <v>857.0</v>
      </c>
      <c r="B858" s="2" t="s">
        <v>1677</v>
      </c>
      <c r="C858" s="2" t="s">
        <v>272</v>
      </c>
      <c r="D858" s="2">
        <v>6573.0</v>
      </c>
      <c r="E858" s="5">
        <v>46236.0</v>
      </c>
      <c r="F858" s="5">
        <v>46144.0</v>
      </c>
      <c r="G858" s="2" t="s">
        <v>1678</v>
      </c>
      <c r="H858" s="2" t="s">
        <v>1679</v>
      </c>
      <c r="I858" s="8">
        <v>26177.0</v>
      </c>
    </row>
    <row r="859" ht="22.5" customHeight="1">
      <c r="A859" s="2">
        <v>858.0</v>
      </c>
      <c r="B859" s="2" t="s">
        <v>1680</v>
      </c>
      <c r="C859" s="2" t="s">
        <v>272</v>
      </c>
      <c r="D859" s="2">
        <v>2688.0</v>
      </c>
      <c r="E859" s="5">
        <v>46236.0</v>
      </c>
      <c r="F859" s="5">
        <v>46144.0</v>
      </c>
      <c r="G859" s="8">
        <v>2054946.0</v>
      </c>
      <c r="H859" s="7">
        <v>6720.0</v>
      </c>
      <c r="I859" s="2" t="s">
        <v>1681</v>
      </c>
    </row>
    <row r="860" ht="22.5" customHeight="1">
      <c r="A860" s="2">
        <v>859.0</v>
      </c>
      <c r="B860" s="2" t="s">
        <v>1680</v>
      </c>
      <c r="C860" s="2" t="s">
        <v>272</v>
      </c>
      <c r="D860" s="2">
        <v>2689.0</v>
      </c>
      <c r="E860" s="5">
        <v>46236.0</v>
      </c>
      <c r="F860" s="5">
        <v>46144.0</v>
      </c>
      <c r="G860" s="8">
        <v>2055983.0</v>
      </c>
      <c r="H860" s="8">
        <v>1761321.0</v>
      </c>
      <c r="I860" s="2" t="s">
        <v>1682</v>
      </c>
    </row>
    <row r="861" ht="22.5" customHeight="1">
      <c r="A861" s="2">
        <v>860.0</v>
      </c>
      <c r="B861" s="2" t="s">
        <v>1680</v>
      </c>
      <c r="C861" s="2" t="s">
        <v>317</v>
      </c>
      <c r="D861" s="2">
        <v>1158.0</v>
      </c>
      <c r="E861" s="5">
        <v>46148.0</v>
      </c>
      <c r="F861" s="5">
        <v>46027.0</v>
      </c>
      <c r="G861" s="2">
        <v>7527.0</v>
      </c>
      <c r="H861" s="8">
        <v>1463010.0</v>
      </c>
      <c r="I861" s="8" t="s">
        <v>1683</v>
      </c>
    </row>
    <row r="862" ht="22.5" customHeight="1">
      <c r="A862" s="2">
        <v>861.0</v>
      </c>
      <c r="B862" s="2" t="s">
        <v>1684</v>
      </c>
      <c r="C862" s="2" t="s">
        <v>272</v>
      </c>
      <c r="D862" s="2">
        <v>2092.0</v>
      </c>
      <c r="E862" s="5">
        <v>46236.0</v>
      </c>
      <c r="F862" s="5">
        <v>46144.0</v>
      </c>
      <c r="G862" s="8">
        <v>1445418.0</v>
      </c>
      <c r="H862" s="7">
        <v>5230.0</v>
      </c>
      <c r="I862" s="2" t="s">
        <v>1685</v>
      </c>
    </row>
    <row r="863" ht="22.5" customHeight="1">
      <c r="A863" s="2">
        <v>862.0</v>
      </c>
      <c r="B863" s="2" t="s">
        <v>1686</v>
      </c>
      <c r="C863" s="2" t="s">
        <v>317</v>
      </c>
      <c r="D863" s="2">
        <v>229.0</v>
      </c>
      <c r="E863" s="5">
        <v>46148.0</v>
      </c>
      <c r="F863" s="5">
        <v>46027.0</v>
      </c>
      <c r="G863" s="8" t="s">
        <v>1687</v>
      </c>
      <c r="H863" s="8" t="s">
        <v>1688</v>
      </c>
      <c r="I863" s="2" t="s">
        <v>1689</v>
      </c>
    </row>
    <row r="864" ht="22.5" customHeight="1">
      <c r="A864" s="2">
        <v>863.0</v>
      </c>
      <c r="B864" s="2" t="s">
        <v>1686</v>
      </c>
      <c r="C864" s="2" t="s">
        <v>272</v>
      </c>
      <c r="D864" s="2">
        <v>533.0</v>
      </c>
      <c r="E864" s="5">
        <v>46236.0</v>
      </c>
      <c r="F864" s="5">
        <v>46144.0</v>
      </c>
      <c r="G864" s="8" t="s">
        <v>1690</v>
      </c>
      <c r="H864" s="8" t="s">
        <v>1691</v>
      </c>
      <c r="I864" s="2" t="s">
        <v>1692</v>
      </c>
    </row>
    <row r="865" ht="22.5" customHeight="1">
      <c r="A865" s="2">
        <v>864.0</v>
      </c>
      <c r="B865" s="2" t="s">
        <v>1686</v>
      </c>
      <c r="C865" s="2" t="s">
        <v>272</v>
      </c>
      <c r="D865" s="2">
        <v>533.0</v>
      </c>
      <c r="E865" s="5">
        <v>46236.0</v>
      </c>
      <c r="F865" s="5">
        <v>46144.0</v>
      </c>
      <c r="G865" s="8" t="s">
        <v>1690</v>
      </c>
      <c r="H865" s="8" t="s">
        <v>1691</v>
      </c>
      <c r="I865" s="2" t="s">
        <v>1692</v>
      </c>
    </row>
    <row r="866" ht="22.5" customHeight="1">
      <c r="A866" s="2">
        <v>865.0</v>
      </c>
      <c r="B866" s="2" t="s">
        <v>1693</v>
      </c>
      <c r="C866" s="2" t="s">
        <v>278</v>
      </c>
      <c r="D866" s="2">
        <v>640.0</v>
      </c>
      <c r="E866" s="5">
        <v>46115.0</v>
      </c>
      <c r="F866" s="2" t="s">
        <v>279</v>
      </c>
      <c r="G866" s="2">
        <v>2176.0</v>
      </c>
      <c r="H866" s="7">
        <v>1824.0</v>
      </c>
      <c r="I866" s="2">
        <v>352.0</v>
      </c>
    </row>
    <row r="867" ht="22.5" customHeight="1">
      <c r="A867" s="2">
        <v>866.0</v>
      </c>
      <c r="B867" s="2" t="s">
        <v>1693</v>
      </c>
      <c r="C867" s="2" t="s">
        <v>278</v>
      </c>
      <c r="D867" s="2">
        <v>641.0</v>
      </c>
      <c r="E867" s="5">
        <v>46115.0</v>
      </c>
      <c r="F867" s="2" t="s">
        <v>279</v>
      </c>
      <c r="G867" s="8">
        <v>101995.0</v>
      </c>
      <c r="H867" s="2" t="s">
        <v>1694</v>
      </c>
      <c r="I867" s="2" t="s">
        <v>1695</v>
      </c>
    </row>
    <row r="868" ht="22.5" customHeight="1">
      <c r="A868" s="2">
        <v>867.0</v>
      </c>
      <c r="B868" s="2" t="s">
        <v>1693</v>
      </c>
      <c r="C868" s="2" t="s">
        <v>278</v>
      </c>
      <c r="D868" s="2">
        <v>640.0</v>
      </c>
      <c r="E868" s="5">
        <v>46115.0</v>
      </c>
      <c r="F868" s="2" t="s">
        <v>279</v>
      </c>
      <c r="G868" s="2">
        <v>2176.0</v>
      </c>
      <c r="H868" s="7">
        <v>1824.0</v>
      </c>
      <c r="I868" s="2">
        <v>352.0</v>
      </c>
    </row>
    <row r="869" ht="22.5" customHeight="1">
      <c r="A869" s="2">
        <v>868.0</v>
      </c>
      <c r="B869" s="2" t="s">
        <v>1696</v>
      </c>
      <c r="C869" s="2" t="s">
        <v>317</v>
      </c>
      <c r="D869" s="2">
        <v>423.0</v>
      </c>
      <c r="E869" s="5">
        <v>46148.0</v>
      </c>
      <c r="F869" s="5">
        <v>46027.0</v>
      </c>
      <c r="G869" s="8">
        <v>310213.0</v>
      </c>
      <c r="H869" s="8">
        <v>93929.0</v>
      </c>
      <c r="I869" s="2" t="s">
        <v>1697</v>
      </c>
    </row>
    <row r="870" ht="22.5" customHeight="1">
      <c r="A870" s="2">
        <v>869.0</v>
      </c>
      <c r="B870" s="2" t="s">
        <v>1698</v>
      </c>
      <c r="C870" s="2" t="s">
        <v>311</v>
      </c>
      <c r="D870" s="2">
        <v>1753.0</v>
      </c>
      <c r="E870" s="5">
        <v>46057.0</v>
      </c>
      <c r="F870" s="5">
        <v>46084.0</v>
      </c>
      <c r="G870" s="8">
        <v>1995108.0</v>
      </c>
      <c r="H870" s="8">
        <v>1418848.0</v>
      </c>
      <c r="I870" s="8" t="s">
        <v>1699</v>
      </c>
    </row>
    <row r="871" ht="22.5" customHeight="1">
      <c r="A871" s="2">
        <v>870.0</v>
      </c>
      <c r="B871" s="2" t="s">
        <v>1698</v>
      </c>
      <c r="C871" s="2" t="s">
        <v>311</v>
      </c>
      <c r="D871" s="2">
        <v>1754.0</v>
      </c>
      <c r="E871" s="5">
        <v>46057.0</v>
      </c>
      <c r="F871" s="5">
        <v>46084.0</v>
      </c>
      <c r="G871" s="8">
        <v>1996630.0</v>
      </c>
      <c r="H871" s="8">
        <v>1420096.0</v>
      </c>
      <c r="I871" s="8" t="s">
        <v>1700</v>
      </c>
    </row>
    <row r="872" ht="22.5" customHeight="1">
      <c r="A872" s="2">
        <v>871.0</v>
      </c>
      <c r="B872" s="2" t="s">
        <v>1698</v>
      </c>
      <c r="C872" s="2" t="s">
        <v>287</v>
      </c>
      <c r="D872" s="2">
        <v>701.0</v>
      </c>
      <c r="E872" s="5">
        <v>46152.0</v>
      </c>
      <c r="F872" s="5">
        <v>46241.0</v>
      </c>
      <c r="G872" s="8">
        <v>1994347.0</v>
      </c>
      <c r="H872" s="8">
        <v>1303034.0</v>
      </c>
      <c r="I872" s="8" t="s">
        <v>1701</v>
      </c>
    </row>
    <row r="873" ht="22.5" customHeight="1">
      <c r="A873" s="2">
        <v>872.0</v>
      </c>
      <c r="B873" s="2" t="s">
        <v>1702</v>
      </c>
      <c r="C873" s="2" t="s">
        <v>278</v>
      </c>
      <c r="D873" s="2">
        <v>1684.0</v>
      </c>
      <c r="E873" s="5">
        <v>46115.0</v>
      </c>
      <c r="F873" s="2" t="s">
        <v>279</v>
      </c>
      <c r="G873" s="8">
        <v>1397206.0</v>
      </c>
      <c r="H873" s="8">
        <v>1058930.0</v>
      </c>
      <c r="I873" s="2" t="s">
        <v>1703</v>
      </c>
    </row>
    <row r="874" ht="22.5" customHeight="1">
      <c r="A874" s="2">
        <v>873.0</v>
      </c>
      <c r="B874" s="2" t="s">
        <v>1702</v>
      </c>
      <c r="C874" s="2" t="s">
        <v>278</v>
      </c>
      <c r="D874" s="2">
        <v>1685.0</v>
      </c>
      <c r="E874" s="5">
        <v>46115.0</v>
      </c>
      <c r="F874" s="2" t="s">
        <v>279</v>
      </c>
      <c r="G874" s="2">
        <v>5729.0</v>
      </c>
      <c r="H874" s="2" t="s">
        <v>1704</v>
      </c>
      <c r="I874" s="2" t="s">
        <v>1705</v>
      </c>
    </row>
    <row r="875" ht="22.5" customHeight="1">
      <c r="A875" s="2">
        <v>874.0</v>
      </c>
      <c r="B875" s="2" t="s">
        <v>1706</v>
      </c>
      <c r="C875" s="2" t="s">
        <v>287</v>
      </c>
      <c r="D875" s="2">
        <v>289.0</v>
      </c>
      <c r="E875" s="5">
        <v>46152.0</v>
      </c>
      <c r="F875" s="5">
        <v>46241.0</v>
      </c>
      <c r="G875" s="8">
        <v>414307.0</v>
      </c>
      <c r="H875" s="8">
        <v>129329.0</v>
      </c>
      <c r="I875" s="2" t="s">
        <v>1707</v>
      </c>
    </row>
    <row r="876" ht="22.5" customHeight="1">
      <c r="A876" s="2">
        <v>875.0</v>
      </c>
      <c r="B876" s="2" t="s">
        <v>1706</v>
      </c>
      <c r="C876" s="2" t="s">
        <v>311</v>
      </c>
      <c r="D876" s="2">
        <v>723.0</v>
      </c>
      <c r="E876" s="5">
        <v>46057.0</v>
      </c>
      <c r="F876" s="5">
        <v>46084.0</v>
      </c>
      <c r="G876" s="8">
        <v>415069.0</v>
      </c>
      <c r="H876" s="8">
        <v>177388.0</v>
      </c>
      <c r="I876" s="2" t="s">
        <v>1708</v>
      </c>
    </row>
    <row r="877" ht="22.5" customHeight="1">
      <c r="A877" s="2">
        <v>876.0</v>
      </c>
      <c r="B877" s="2" t="s">
        <v>1709</v>
      </c>
      <c r="C877" s="2" t="s">
        <v>272</v>
      </c>
      <c r="D877" s="2">
        <v>3006.0</v>
      </c>
      <c r="E877" s="5">
        <v>46236.0</v>
      </c>
      <c r="F877" s="5">
        <v>46144.0</v>
      </c>
      <c r="G877" s="8">
        <v>2380135.0</v>
      </c>
      <c r="H877" s="7">
        <v>7515.0</v>
      </c>
      <c r="I877" s="2" t="s">
        <v>1710</v>
      </c>
    </row>
    <row r="878" ht="22.5" customHeight="1">
      <c r="A878" s="2">
        <v>877.0</v>
      </c>
      <c r="B878" s="2" t="s">
        <v>1711</v>
      </c>
      <c r="C878" s="2" t="s">
        <v>272</v>
      </c>
      <c r="D878" s="2">
        <v>791.0</v>
      </c>
      <c r="E878" s="5">
        <v>46236.0</v>
      </c>
      <c r="F878" s="5">
        <v>46144.0</v>
      </c>
      <c r="G878" s="8">
        <v>114900.0</v>
      </c>
      <c r="H878" s="8">
        <v>28246.0</v>
      </c>
      <c r="I878" s="2" t="s">
        <v>367</v>
      </c>
    </row>
    <row r="879" ht="22.5" customHeight="1">
      <c r="A879" s="2">
        <v>878.0</v>
      </c>
      <c r="B879" s="2" t="s">
        <v>1712</v>
      </c>
      <c r="C879" s="2" t="s">
        <v>272</v>
      </c>
      <c r="D879" s="2">
        <v>1142.0</v>
      </c>
      <c r="E879" s="5">
        <v>46236.0</v>
      </c>
      <c r="F879" s="5">
        <v>46144.0</v>
      </c>
      <c r="G879" s="8">
        <v>473873.0</v>
      </c>
      <c r="H879" s="7">
        <v>2855.0</v>
      </c>
      <c r="I879" s="2" t="s">
        <v>1713</v>
      </c>
    </row>
    <row r="880" ht="22.5" customHeight="1">
      <c r="A880" s="2">
        <v>879.0</v>
      </c>
      <c r="B880" s="2" t="s">
        <v>1712</v>
      </c>
      <c r="C880" s="2" t="s">
        <v>276</v>
      </c>
      <c r="D880" s="2">
        <v>761.0</v>
      </c>
      <c r="E880" s="5">
        <v>46057.0</v>
      </c>
      <c r="F880" s="5">
        <v>46115.0</v>
      </c>
      <c r="G880" s="8">
        <v>473387.0</v>
      </c>
      <c r="H880" s="8">
        <v>251014.0</v>
      </c>
      <c r="I880" s="2" t="s">
        <v>1714</v>
      </c>
    </row>
    <row r="881" ht="22.5" customHeight="1">
      <c r="A881" s="2">
        <v>880.0</v>
      </c>
      <c r="B881" s="2" t="s">
        <v>1715</v>
      </c>
      <c r="C881" s="2" t="s">
        <v>317</v>
      </c>
      <c r="D881" s="2">
        <v>1321.0</v>
      </c>
      <c r="E881" s="5">
        <v>46148.0</v>
      </c>
      <c r="F881" s="5">
        <v>46027.0</v>
      </c>
      <c r="G881" s="8">
        <v>2442134.0</v>
      </c>
      <c r="H881" s="8">
        <v>1766680.0</v>
      </c>
      <c r="I881" s="8" t="s">
        <v>1716</v>
      </c>
    </row>
    <row r="882" ht="22.5" customHeight="1">
      <c r="A882" s="2">
        <v>881.0</v>
      </c>
      <c r="B882" s="2" t="s">
        <v>1715</v>
      </c>
      <c r="C882" s="2" t="s">
        <v>272</v>
      </c>
      <c r="D882" s="2">
        <v>3065.0</v>
      </c>
      <c r="E882" s="5">
        <v>46236.0</v>
      </c>
      <c r="F882" s="5">
        <v>46144.0</v>
      </c>
      <c r="G882" s="2">
        <v>8582.0</v>
      </c>
      <c r="H882" s="8">
        <v>2104650.0</v>
      </c>
      <c r="I882" s="2" t="s">
        <v>1717</v>
      </c>
    </row>
    <row r="883" ht="22.5" customHeight="1">
      <c r="A883" s="2">
        <v>882.0</v>
      </c>
      <c r="B883" s="2" t="s">
        <v>1718</v>
      </c>
      <c r="C883" s="2" t="s">
        <v>272</v>
      </c>
      <c r="D883" s="2">
        <v>3666.0</v>
      </c>
      <c r="E883" s="5">
        <v>46236.0</v>
      </c>
      <c r="F883" s="5">
        <v>46144.0</v>
      </c>
      <c r="G883" s="2" t="s">
        <v>1336</v>
      </c>
      <c r="H883" s="7">
        <v>9165.0</v>
      </c>
      <c r="I883" s="8" t="s">
        <v>1337</v>
      </c>
    </row>
    <row r="884" ht="22.5" customHeight="1">
      <c r="A884" s="2">
        <v>883.0</v>
      </c>
      <c r="B884" s="2" t="s">
        <v>1718</v>
      </c>
      <c r="C884" s="2" t="s">
        <v>317</v>
      </c>
      <c r="D884" s="2">
        <v>1579.0</v>
      </c>
      <c r="E884" s="5">
        <v>46148.0</v>
      </c>
      <c r="F884" s="5">
        <v>46027.0</v>
      </c>
      <c r="G884" s="2" t="s">
        <v>1719</v>
      </c>
      <c r="H884" s="8">
        <v>2247218.0</v>
      </c>
      <c r="I884" s="8">
        <v>113378.0</v>
      </c>
    </row>
    <row r="885" ht="22.5" customHeight="1">
      <c r="A885" s="2">
        <v>884.0</v>
      </c>
      <c r="B885" s="2" t="s">
        <v>1720</v>
      </c>
      <c r="C885" s="2" t="s">
        <v>278</v>
      </c>
      <c r="D885" s="2">
        <v>1833.0</v>
      </c>
      <c r="E885" s="5">
        <v>46115.0</v>
      </c>
      <c r="F885" s="2" t="s">
        <v>279</v>
      </c>
      <c r="G885" s="8">
        <v>1582263.0</v>
      </c>
      <c r="H885" s="9">
        <v>1214189.0</v>
      </c>
      <c r="I885" s="2" t="s">
        <v>1721</v>
      </c>
    </row>
    <row r="886" ht="22.5" customHeight="1">
      <c r="A886" s="2">
        <v>885.0</v>
      </c>
      <c r="B886" s="2" t="s">
        <v>1720</v>
      </c>
      <c r="C886" s="2" t="s">
        <v>278</v>
      </c>
      <c r="D886" s="2">
        <v>1832.0</v>
      </c>
      <c r="E886" s="5">
        <v>46115.0</v>
      </c>
      <c r="F886" s="2" t="s">
        <v>279</v>
      </c>
      <c r="G886" s="8">
        <v>1580984.0</v>
      </c>
      <c r="H886" s="8">
        <v>1213004.0</v>
      </c>
      <c r="I886" s="8" t="s">
        <v>1722</v>
      </c>
    </row>
    <row r="887" ht="22.5" customHeight="1">
      <c r="A887" s="2">
        <v>886.0</v>
      </c>
      <c r="B887" s="2" t="s">
        <v>1723</v>
      </c>
      <c r="C887" s="2" t="s">
        <v>278</v>
      </c>
      <c r="D887" s="2">
        <v>3231.0</v>
      </c>
      <c r="E887" s="5">
        <v>46115.0</v>
      </c>
      <c r="F887" s="2" t="s">
        <v>279</v>
      </c>
      <c r="G887" s="2" t="s">
        <v>1724</v>
      </c>
      <c r="H887" s="2" t="s">
        <v>1725</v>
      </c>
      <c r="I887" s="9" t="s">
        <v>1726</v>
      </c>
    </row>
    <row r="888" ht="22.5" customHeight="1">
      <c r="A888" s="2">
        <v>887.0</v>
      </c>
      <c r="B888" s="2" t="s">
        <v>1723</v>
      </c>
      <c r="C888" s="2" t="s">
        <v>269</v>
      </c>
      <c r="D888" s="2">
        <v>2112.0</v>
      </c>
      <c r="E888" s="5">
        <v>46058.0</v>
      </c>
      <c r="F888" s="6">
        <v>46146.0</v>
      </c>
      <c r="G888" s="2" t="s">
        <v>1727</v>
      </c>
      <c r="H888" s="8">
        <v>2430112.0</v>
      </c>
      <c r="I888" s="8">
        <v>193063.0</v>
      </c>
    </row>
    <row r="889" ht="22.5" customHeight="1">
      <c r="A889" s="2">
        <v>888.0</v>
      </c>
      <c r="B889" s="2" t="s">
        <v>1723</v>
      </c>
      <c r="C889" s="2" t="s">
        <v>269</v>
      </c>
      <c r="D889" s="2">
        <v>2113.0</v>
      </c>
      <c r="E889" s="5">
        <v>46058.0</v>
      </c>
      <c r="F889" s="6">
        <v>46146.0</v>
      </c>
      <c r="G889" s="2" t="s">
        <v>1728</v>
      </c>
      <c r="H889" s="2" t="s">
        <v>1729</v>
      </c>
      <c r="I889" s="2" t="s">
        <v>1730</v>
      </c>
    </row>
    <row r="890" ht="22.5" customHeight="1">
      <c r="A890" s="2">
        <v>889.0</v>
      </c>
      <c r="B890" s="2" t="s">
        <v>1731</v>
      </c>
      <c r="C890" s="2" t="s">
        <v>317</v>
      </c>
      <c r="D890" s="2">
        <v>856.0</v>
      </c>
      <c r="E890" s="5">
        <v>46148.0</v>
      </c>
      <c r="F890" s="5">
        <v>46027.0</v>
      </c>
      <c r="G890" s="2">
        <v>5564.0</v>
      </c>
      <c r="H890" s="8">
        <v>900476.0</v>
      </c>
      <c r="I890" s="8" t="s">
        <v>1732</v>
      </c>
    </row>
    <row r="891" ht="22.5" customHeight="1">
      <c r="A891" s="2">
        <v>890.0</v>
      </c>
      <c r="B891" s="2" t="s">
        <v>1731</v>
      </c>
      <c r="C891" s="2" t="s">
        <v>317</v>
      </c>
      <c r="D891" s="2">
        <v>856.0</v>
      </c>
      <c r="E891" s="5">
        <v>46148.0</v>
      </c>
      <c r="F891" s="5">
        <v>46027.0</v>
      </c>
      <c r="G891" s="2">
        <v>5564.0</v>
      </c>
      <c r="H891" s="8">
        <v>900476.0</v>
      </c>
      <c r="I891" s="8" t="s">
        <v>1732</v>
      </c>
    </row>
    <row r="892" ht="22.5" customHeight="1">
      <c r="A892" s="2">
        <v>891.0</v>
      </c>
      <c r="B892" s="2" t="s">
        <v>1731</v>
      </c>
      <c r="C892" s="2" t="s">
        <v>317</v>
      </c>
      <c r="D892" s="2">
        <v>857.0</v>
      </c>
      <c r="E892" s="5">
        <v>46148.0</v>
      </c>
      <c r="F892" s="5">
        <v>46027.0</v>
      </c>
      <c r="G892" s="8">
        <v>1340562.0</v>
      </c>
      <c r="H892" s="8">
        <v>902332.0</v>
      </c>
      <c r="I892" s="8" t="s">
        <v>1733</v>
      </c>
    </row>
    <row r="893" ht="22.5" customHeight="1">
      <c r="A893" s="2">
        <v>892.0</v>
      </c>
      <c r="B893" s="2" t="s">
        <v>1734</v>
      </c>
      <c r="C893" s="2" t="s">
        <v>272</v>
      </c>
      <c r="D893" s="2">
        <v>5516.0</v>
      </c>
      <c r="E893" s="5">
        <v>46236.0</v>
      </c>
      <c r="F893" s="5">
        <v>46144.0</v>
      </c>
      <c r="G893" s="2" t="s">
        <v>1735</v>
      </c>
      <c r="H893" s="7">
        <v>13790.0</v>
      </c>
      <c r="I893" s="8" t="s">
        <v>1736</v>
      </c>
    </row>
    <row r="894" ht="22.5" customHeight="1">
      <c r="A894" s="2">
        <v>893.0</v>
      </c>
      <c r="B894" s="2" t="s">
        <v>1734</v>
      </c>
      <c r="C894" s="2" t="s">
        <v>272</v>
      </c>
      <c r="D894" s="2">
        <v>5516.0</v>
      </c>
      <c r="E894" s="5">
        <v>46236.0</v>
      </c>
      <c r="F894" s="5">
        <v>46144.0</v>
      </c>
      <c r="G894" s="2" t="s">
        <v>1735</v>
      </c>
      <c r="H894" s="7">
        <v>13790.0</v>
      </c>
      <c r="I894" s="8" t="s">
        <v>1736</v>
      </c>
    </row>
    <row r="895" ht="22.5" customHeight="1">
      <c r="A895" s="2">
        <v>894.0</v>
      </c>
      <c r="B895" s="2" t="s">
        <v>1734</v>
      </c>
      <c r="C895" s="2" t="s">
        <v>272</v>
      </c>
      <c r="D895" s="2">
        <v>5517.0</v>
      </c>
      <c r="E895" s="5">
        <v>46236.0</v>
      </c>
      <c r="F895" s="5">
        <v>46144.0</v>
      </c>
      <c r="G895" s="2" t="s">
        <v>1737</v>
      </c>
      <c r="H895" s="2" t="s">
        <v>1738</v>
      </c>
      <c r="I895" s="8" t="s">
        <v>1739</v>
      </c>
    </row>
    <row r="896" ht="22.5" customHeight="1">
      <c r="A896" s="2">
        <v>895.0</v>
      </c>
      <c r="B896" s="2" t="s">
        <v>1740</v>
      </c>
      <c r="C896" s="2" t="s">
        <v>269</v>
      </c>
      <c r="D896" s="2">
        <v>2701.0</v>
      </c>
      <c r="E896" s="5">
        <v>46058.0</v>
      </c>
      <c r="F896" s="6">
        <v>46146.0</v>
      </c>
      <c r="G896" s="2" t="s">
        <v>1741</v>
      </c>
      <c r="H896" s="2" t="s">
        <v>1742</v>
      </c>
      <c r="I896" s="2" t="s">
        <v>1743</v>
      </c>
    </row>
    <row r="897" ht="22.5" customHeight="1">
      <c r="A897" s="2">
        <v>896.0</v>
      </c>
      <c r="B897" s="2" t="s">
        <v>1744</v>
      </c>
      <c r="C897" s="2" t="s">
        <v>278</v>
      </c>
      <c r="D897" s="2">
        <v>4268.0</v>
      </c>
      <c r="E897" s="5">
        <v>46115.0</v>
      </c>
      <c r="F897" s="2" t="s">
        <v>279</v>
      </c>
      <c r="G897" s="2" t="s">
        <v>1745</v>
      </c>
      <c r="H897" s="2" t="s">
        <v>1746</v>
      </c>
      <c r="I897" s="8">
        <v>163355.0</v>
      </c>
    </row>
    <row r="898" ht="22.5" customHeight="1">
      <c r="A898" s="2">
        <v>897.0</v>
      </c>
      <c r="B898" s="2" t="s">
        <v>1744</v>
      </c>
      <c r="C898" s="2" t="s">
        <v>278</v>
      </c>
      <c r="D898" s="2">
        <v>4268.0</v>
      </c>
      <c r="E898" s="5">
        <v>46115.0</v>
      </c>
      <c r="F898" s="2" t="s">
        <v>279</v>
      </c>
      <c r="G898" s="2" t="s">
        <v>1745</v>
      </c>
      <c r="H898" s="2" t="s">
        <v>1746</v>
      </c>
      <c r="I898" s="8">
        <v>163355.0</v>
      </c>
    </row>
    <row r="899" ht="22.5" customHeight="1">
      <c r="A899" s="2">
        <v>898.0</v>
      </c>
      <c r="B899" s="2" t="s">
        <v>1744</v>
      </c>
      <c r="C899" s="2" t="s">
        <v>270</v>
      </c>
      <c r="D899" s="2">
        <v>1770.0</v>
      </c>
      <c r="E899" s="5">
        <v>46061.0</v>
      </c>
      <c r="F899" s="5">
        <v>46059.0</v>
      </c>
      <c r="G899" s="2">
        <v>14514.0</v>
      </c>
      <c r="H899" s="7">
        <v>10974.0</v>
      </c>
      <c r="I899" s="2">
        <v>3540.0</v>
      </c>
    </row>
    <row r="900" ht="22.5" customHeight="1">
      <c r="A900" s="2">
        <v>899.0</v>
      </c>
      <c r="B900" s="2" t="s">
        <v>1747</v>
      </c>
      <c r="C900" s="2" t="s">
        <v>276</v>
      </c>
      <c r="D900" s="2">
        <v>211.0</v>
      </c>
      <c r="E900" s="5">
        <v>46057.0</v>
      </c>
      <c r="F900" s="5">
        <v>46115.0</v>
      </c>
      <c r="G900" s="2" t="s">
        <v>1748</v>
      </c>
      <c r="H900" s="2" t="s">
        <v>1749</v>
      </c>
      <c r="I900" s="2" t="s">
        <v>1750</v>
      </c>
    </row>
    <row r="901" ht="22.5" customHeight="1">
      <c r="A901" s="2">
        <v>900.0</v>
      </c>
      <c r="B901" s="2" t="s">
        <v>1747</v>
      </c>
      <c r="C901" s="2" t="s">
        <v>317</v>
      </c>
      <c r="D901" s="2">
        <v>137.0</v>
      </c>
      <c r="E901" s="5">
        <v>46148.0</v>
      </c>
      <c r="F901" s="5">
        <v>46027.0</v>
      </c>
      <c r="G901" s="2" t="s">
        <v>1751</v>
      </c>
      <c r="H901" s="2" t="s">
        <v>1752</v>
      </c>
      <c r="I901" s="2" t="s">
        <v>1753</v>
      </c>
    </row>
    <row r="902" ht="22.5" customHeight="1">
      <c r="A902" s="2">
        <v>901.0</v>
      </c>
      <c r="B902" s="2" t="s">
        <v>1747</v>
      </c>
      <c r="C902" s="2" t="s">
        <v>272</v>
      </c>
      <c r="D902" s="2">
        <v>316.0</v>
      </c>
      <c r="E902" s="5">
        <v>46236.0</v>
      </c>
      <c r="F902" s="5">
        <v>46144.0</v>
      </c>
      <c r="G902" s="2" t="s">
        <v>1754</v>
      </c>
      <c r="H902" s="7">
        <v>790.0</v>
      </c>
      <c r="I902" s="2" t="s">
        <v>1755</v>
      </c>
    </row>
    <row r="903" ht="22.5" customHeight="1">
      <c r="A903" s="2">
        <v>902.0</v>
      </c>
      <c r="B903" s="2" t="s">
        <v>1756</v>
      </c>
      <c r="C903" s="2" t="s">
        <v>278</v>
      </c>
      <c r="D903" s="2">
        <v>2821.0</v>
      </c>
      <c r="E903" s="5">
        <v>46115.0</v>
      </c>
      <c r="F903" s="2" t="s">
        <v>279</v>
      </c>
      <c r="G903" s="8">
        <v>2809172.0</v>
      </c>
      <c r="H903" s="2" t="s">
        <v>1757</v>
      </c>
      <c r="I903" s="2" t="s">
        <v>1758</v>
      </c>
    </row>
    <row r="904" ht="22.5" customHeight="1">
      <c r="A904" s="2">
        <v>903.0</v>
      </c>
      <c r="B904" s="2" t="s">
        <v>1759</v>
      </c>
      <c r="C904" s="2" t="s">
        <v>317</v>
      </c>
      <c r="D904" s="2">
        <v>552.0</v>
      </c>
      <c r="E904" s="5">
        <v>46148.0</v>
      </c>
      <c r="F904" s="5">
        <v>46027.0</v>
      </c>
      <c r="G904" s="2">
        <v>3588.0</v>
      </c>
      <c r="H904" s="8">
        <v>334230.0</v>
      </c>
      <c r="I904" s="2" t="s">
        <v>1760</v>
      </c>
    </row>
    <row r="905" ht="22.5" customHeight="1">
      <c r="A905" s="2">
        <v>904.0</v>
      </c>
      <c r="B905" s="2" t="s">
        <v>1759</v>
      </c>
      <c r="C905" s="2" t="s">
        <v>276</v>
      </c>
      <c r="D905" s="2">
        <v>854.0</v>
      </c>
      <c r="E905" s="5">
        <v>46057.0</v>
      </c>
      <c r="F905" s="5">
        <v>46115.0</v>
      </c>
      <c r="G905" s="8">
        <v>616013.0</v>
      </c>
      <c r="H905" s="8">
        <v>366491.0</v>
      </c>
      <c r="I905" s="2" t="s">
        <v>1281</v>
      </c>
    </row>
    <row r="906" ht="22.5" customHeight="1">
      <c r="A906" s="2">
        <v>905.0</v>
      </c>
      <c r="B906" s="2" t="s">
        <v>1759</v>
      </c>
      <c r="C906" s="2" t="s">
        <v>276</v>
      </c>
      <c r="D906" s="2">
        <v>854.0</v>
      </c>
      <c r="E906" s="5">
        <v>46057.0</v>
      </c>
      <c r="F906" s="5">
        <v>46115.0</v>
      </c>
      <c r="G906" s="8">
        <v>616013.0</v>
      </c>
      <c r="H906" s="8">
        <v>366491.0</v>
      </c>
      <c r="I906" s="2" t="s">
        <v>1281</v>
      </c>
    </row>
    <row r="907" ht="22.5" customHeight="1">
      <c r="A907" s="2">
        <v>906.0</v>
      </c>
      <c r="B907" s="2" t="s">
        <v>1761</v>
      </c>
      <c r="C907" s="2" t="s">
        <v>317</v>
      </c>
      <c r="D907" s="2">
        <v>500.0</v>
      </c>
      <c r="E907" s="5">
        <v>46148.0</v>
      </c>
      <c r="F907" s="5">
        <v>46027.0</v>
      </c>
      <c r="G907" s="2">
        <v>3250.0</v>
      </c>
      <c r="H907" s="7">
        <v>2550.0</v>
      </c>
      <c r="I907" s="2">
        <v>700.0</v>
      </c>
    </row>
    <row r="908" ht="22.5" customHeight="1">
      <c r="A908" s="2">
        <v>907.0</v>
      </c>
      <c r="B908" s="2" t="s">
        <v>1761</v>
      </c>
      <c r="C908" s="2" t="s">
        <v>317</v>
      </c>
      <c r="D908" s="2">
        <v>500.0</v>
      </c>
      <c r="E908" s="5">
        <v>46148.0</v>
      </c>
      <c r="F908" s="5">
        <v>46027.0</v>
      </c>
      <c r="G908" s="2">
        <v>3250.0</v>
      </c>
      <c r="H908" s="7">
        <v>2550.0</v>
      </c>
      <c r="I908" s="2">
        <v>700.0</v>
      </c>
    </row>
    <row r="909" ht="22.5" customHeight="1">
      <c r="A909" s="2">
        <v>908.0</v>
      </c>
      <c r="B909" s="2" t="s">
        <v>1761</v>
      </c>
      <c r="C909" s="2" t="s">
        <v>276</v>
      </c>
      <c r="D909" s="2">
        <v>774.0</v>
      </c>
      <c r="E909" s="5">
        <v>46057.0</v>
      </c>
      <c r="F909" s="5">
        <v>46115.0</v>
      </c>
      <c r="G909" s="8">
        <v>493292.0</v>
      </c>
      <c r="H909" s="8">
        <v>267145.0</v>
      </c>
      <c r="I909" s="2" t="s">
        <v>312</v>
      </c>
    </row>
    <row r="910" ht="22.5" customHeight="1">
      <c r="A910" s="2">
        <v>909.0</v>
      </c>
      <c r="B910" s="2" t="s">
        <v>1762</v>
      </c>
      <c r="C910" s="2" t="s">
        <v>272</v>
      </c>
      <c r="D910" s="2">
        <v>2934.0</v>
      </c>
      <c r="E910" s="5">
        <v>46236.0</v>
      </c>
      <c r="F910" s="5">
        <v>46144.0</v>
      </c>
      <c r="G910" s="8">
        <v>2306539.0</v>
      </c>
      <c r="H910" s="7">
        <v>7335.0</v>
      </c>
      <c r="I910" s="2" t="s">
        <v>1763</v>
      </c>
    </row>
    <row r="911" ht="22.5" customHeight="1">
      <c r="A911" s="2">
        <v>910.0</v>
      </c>
      <c r="B911" s="2" t="s">
        <v>1762</v>
      </c>
      <c r="C911" s="2" t="s">
        <v>276</v>
      </c>
      <c r="D911" s="2">
        <v>1956.0</v>
      </c>
      <c r="E911" s="5">
        <v>46057.0</v>
      </c>
      <c r="F911" s="5">
        <v>46115.0</v>
      </c>
      <c r="G911" s="8">
        <v>2306539.0</v>
      </c>
      <c r="H911" s="8">
        <v>1734994.0</v>
      </c>
      <c r="I911" s="8" t="s">
        <v>1764</v>
      </c>
    </row>
    <row r="912" ht="22.5" customHeight="1">
      <c r="A912" s="2">
        <v>911.0</v>
      </c>
      <c r="B912" s="2" t="s">
        <v>1762</v>
      </c>
      <c r="C912" s="2" t="s">
        <v>276</v>
      </c>
      <c r="D912" s="2">
        <v>1957.0</v>
      </c>
      <c r="E912" s="5">
        <v>46057.0</v>
      </c>
      <c r="F912" s="5">
        <v>46115.0</v>
      </c>
      <c r="G912" s="8">
        <v>2308059.0</v>
      </c>
      <c r="H912" s="8">
        <v>1736212.0</v>
      </c>
      <c r="I912" s="8" t="s">
        <v>1765</v>
      </c>
    </row>
    <row r="913" ht="22.5" customHeight="1">
      <c r="A913" s="2">
        <v>912.0</v>
      </c>
      <c r="B913" s="2" t="s">
        <v>1766</v>
      </c>
      <c r="C913" s="2" t="s">
        <v>269</v>
      </c>
      <c r="D913" s="2">
        <v>65550.0</v>
      </c>
      <c r="E913" s="5">
        <v>46058.0</v>
      </c>
      <c r="F913" s="6">
        <v>46146.0</v>
      </c>
      <c r="G913" s="2">
        <v>340860.0</v>
      </c>
      <c r="H913" s="2" t="s">
        <v>1767</v>
      </c>
      <c r="I913" s="2" t="s">
        <v>1768</v>
      </c>
    </row>
    <row r="914" ht="22.5" customHeight="1">
      <c r="A914" s="2">
        <v>913.0</v>
      </c>
      <c r="B914" s="2" t="s">
        <v>1769</v>
      </c>
      <c r="C914" s="2" t="s">
        <v>276</v>
      </c>
      <c r="D914" s="2">
        <v>11869.0</v>
      </c>
      <c r="E914" s="5">
        <v>46057.0</v>
      </c>
      <c r="F914" s="5">
        <v>46115.0</v>
      </c>
      <c r="G914" s="2" t="s">
        <v>1770</v>
      </c>
      <c r="H914" s="2" t="s">
        <v>1771</v>
      </c>
      <c r="I914" s="8">
        <v>2774050.0</v>
      </c>
    </row>
    <row r="915" ht="22.5" customHeight="1">
      <c r="A915" s="2">
        <v>914.0</v>
      </c>
      <c r="B915" s="2" t="s">
        <v>1769</v>
      </c>
      <c r="C915" s="2" t="s">
        <v>272</v>
      </c>
      <c r="D915" s="2">
        <v>17803.0</v>
      </c>
      <c r="E915" s="5">
        <v>46236.0</v>
      </c>
      <c r="F915" s="5">
        <v>46144.0</v>
      </c>
      <c r="G915" s="2" t="s">
        <v>1772</v>
      </c>
      <c r="H915" s="2" t="s">
        <v>1773</v>
      </c>
      <c r="I915" s="8">
        <v>1256680.0</v>
      </c>
    </row>
    <row r="916" ht="22.5" customHeight="1">
      <c r="A916" s="2">
        <v>915.0</v>
      </c>
      <c r="B916" s="2" t="s">
        <v>1769</v>
      </c>
      <c r="C916" s="2" t="s">
        <v>317</v>
      </c>
      <c r="D916" s="2">
        <v>7669.0</v>
      </c>
      <c r="E916" s="5">
        <v>46148.0</v>
      </c>
      <c r="F916" s="5">
        <v>46027.0</v>
      </c>
      <c r="G916" s="2" t="s">
        <v>1774</v>
      </c>
      <c r="H916" s="2" t="s">
        <v>1775</v>
      </c>
      <c r="I916" s="2" t="s">
        <v>1776</v>
      </c>
    </row>
    <row r="917" ht="22.5" customHeight="1">
      <c r="A917" s="2">
        <v>916.0</v>
      </c>
      <c r="B917" s="2" t="s">
        <v>1777</v>
      </c>
      <c r="C917" s="2" t="s">
        <v>317</v>
      </c>
      <c r="D917" s="2">
        <v>1839.0</v>
      </c>
      <c r="E917" s="5">
        <v>46148.0</v>
      </c>
      <c r="F917" s="5">
        <v>46027.0</v>
      </c>
      <c r="G917" s="2" t="s">
        <v>1778</v>
      </c>
      <c r="H917" s="8">
        <v>2731529.0</v>
      </c>
      <c r="I917" s="8">
        <v>246327.0</v>
      </c>
    </row>
    <row r="918" ht="22.5" customHeight="1">
      <c r="A918" s="2">
        <v>917.0</v>
      </c>
      <c r="B918" s="2" t="s">
        <v>1777</v>
      </c>
      <c r="C918" s="2" t="s">
        <v>276</v>
      </c>
      <c r="D918" s="2">
        <v>2845.0</v>
      </c>
      <c r="E918" s="5">
        <v>46057.0</v>
      </c>
      <c r="F918" s="5">
        <v>46115.0</v>
      </c>
      <c r="G918" s="2">
        <v>11949.0</v>
      </c>
      <c r="H918" s="7">
        <v>9673.0</v>
      </c>
      <c r="I918" s="2">
        <v>2276.0</v>
      </c>
    </row>
    <row r="919" ht="22.5" customHeight="1">
      <c r="A919" s="2">
        <v>918.0</v>
      </c>
      <c r="B919" s="2" t="s">
        <v>1777</v>
      </c>
      <c r="C919" s="2" t="s">
        <v>276</v>
      </c>
      <c r="D919" s="2">
        <v>2846.0</v>
      </c>
      <c r="E919" s="5">
        <v>46057.0</v>
      </c>
      <c r="F919" s="5">
        <v>46115.0</v>
      </c>
      <c r="G919" s="2" t="s">
        <v>1779</v>
      </c>
      <c r="H919" s="8">
        <v>2840219.0</v>
      </c>
      <c r="I919" s="8">
        <v>137546.0</v>
      </c>
    </row>
    <row r="920" ht="22.5" customHeight="1">
      <c r="A920" s="2">
        <v>919.0</v>
      </c>
      <c r="B920" s="2" t="s">
        <v>1780</v>
      </c>
      <c r="C920" s="2" t="s">
        <v>317</v>
      </c>
      <c r="D920" s="2">
        <v>9847.0</v>
      </c>
      <c r="E920" s="5">
        <v>46148.0</v>
      </c>
      <c r="F920" s="5">
        <v>46027.0</v>
      </c>
      <c r="G920" s="2" t="s">
        <v>1781</v>
      </c>
      <c r="H920" s="2" t="s">
        <v>1782</v>
      </c>
      <c r="I920" s="2" t="s">
        <v>1783</v>
      </c>
    </row>
    <row r="921" ht="22.5" customHeight="1">
      <c r="A921" s="2">
        <v>920.0</v>
      </c>
      <c r="B921" s="2" t="s">
        <v>1784</v>
      </c>
      <c r="C921" s="2" t="s">
        <v>311</v>
      </c>
      <c r="D921" s="2">
        <v>7232.0</v>
      </c>
      <c r="E921" s="5">
        <v>46057.0</v>
      </c>
      <c r="F921" s="5">
        <v>46084.0</v>
      </c>
      <c r="G921" s="2" t="s">
        <v>1785</v>
      </c>
      <c r="H921" s="2" t="s">
        <v>1786</v>
      </c>
      <c r="I921" s="8">
        <v>1683252.0</v>
      </c>
    </row>
    <row r="922" ht="22.5" customHeight="1">
      <c r="A922" s="2">
        <v>921.0</v>
      </c>
      <c r="B922" s="2" t="s">
        <v>1787</v>
      </c>
      <c r="C922" s="2" t="s">
        <v>272</v>
      </c>
      <c r="D922" s="2">
        <v>611.0</v>
      </c>
      <c r="E922" s="5">
        <v>46236.0</v>
      </c>
      <c r="F922" s="5">
        <v>46144.0</v>
      </c>
      <c r="G922" s="8" t="s">
        <v>1788</v>
      </c>
      <c r="H922" s="8" t="s">
        <v>1789</v>
      </c>
      <c r="I922" s="2" t="s">
        <v>1790</v>
      </c>
    </row>
    <row r="923" ht="22.5" customHeight="1">
      <c r="A923" s="2">
        <v>922.0</v>
      </c>
      <c r="B923" s="2" t="s">
        <v>1787</v>
      </c>
      <c r="C923" s="2" t="s">
        <v>317</v>
      </c>
      <c r="D923" s="2">
        <v>263.0</v>
      </c>
      <c r="E923" s="5">
        <v>46148.0</v>
      </c>
      <c r="F923" s="5">
        <v>46027.0</v>
      </c>
      <c r="G923" s="8" t="s">
        <v>1791</v>
      </c>
      <c r="H923" s="8" t="s">
        <v>1792</v>
      </c>
      <c r="I923" s="2" t="s">
        <v>1793</v>
      </c>
    </row>
    <row r="924" ht="22.5" customHeight="1">
      <c r="A924" s="2">
        <v>923.0</v>
      </c>
      <c r="B924" s="2" t="s">
        <v>1794</v>
      </c>
      <c r="C924" s="2" t="s">
        <v>317</v>
      </c>
      <c r="D924" s="2">
        <v>1952.0</v>
      </c>
      <c r="E924" s="5">
        <v>46148.0</v>
      </c>
      <c r="F924" s="5">
        <v>46027.0</v>
      </c>
      <c r="G924" s="2">
        <v>12688.0</v>
      </c>
      <c r="H924" s="8">
        <v>2942061.0</v>
      </c>
      <c r="I924" s="8">
        <v>304096.0</v>
      </c>
    </row>
    <row r="925" ht="22.5" customHeight="1">
      <c r="A925" s="2">
        <v>924.0</v>
      </c>
      <c r="B925" s="2" t="s">
        <v>1794</v>
      </c>
      <c r="C925" s="2" t="s">
        <v>272</v>
      </c>
      <c r="D925" s="2">
        <v>4534.0</v>
      </c>
      <c r="E925" s="5">
        <v>46236.0</v>
      </c>
      <c r="F925" s="5">
        <v>46144.0</v>
      </c>
      <c r="G925" s="2" t="s">
        <v>1795</v>
      </c>
      <c r="H925" s="7">
        <v>11335.0</v>
      </c>
      <c r="I925" s="8" t="s">
        <v>1796</v>
      </c>
    </row>
    <row r="926" ht="22.5" customHeight="1">
      <c r="A926" s="2">
        <v>925.0</v>
      </c>
      <c r="B926" s="2" t="s">
        <v>1797</v>
      </c>
      <c r="C926" s="2" t="s">
        <v>276</v>
      </c>
      <c r="D926" s="2">
        <v>1113.0</v>
      </c>
      <c r="E926" s="5">
        <v>46057.0</v>
      </c>
      <c r="F926" s="5">
        <v>46115.0</v>
      </c>
      <c r="G926" s="8">
        <v>1013336.0</v>
      </c>
      <c r="H926" s="8">
        <v>688150.0</v>
      </c>
      <c r="I926" s="2" t="s">
        <v>1313</v>
      </c>
    </row>
    <row r="927" ht="22.5" customHeight="1">
      <c r="A927" s="2">
        <v>926.0</v>
      </c>
      <c r="B927" s="2" t="s">
        <v>1797</v>
      </c>
      <c r="C927" s="2" t="s">
        <v>317</v>
      </c>
      <c r="D927" s="2">
        <v>719.0</v>
      </c>
      <c r="E927" s="5">
        <v>46148.0</v>
      </c>
      <c r="F927" s="5">
        <v>46027.0</v>
      </c>
      <c r="G927" s="8">
        <v>1012940.0</v>
      </c>
      <c r="H927" s="8">
        <v>645264.0</v>
      </c>
      <c r="I927" s="8" t="s">
        <v>1798</v>
      </c>
    </row>
    <row r="928" ht="22.5" customHeight="1">
      <c r="A928" s="2">
        <v>927.0</v>
      </c>
      <c r="B928" s="2" t="s">
        <v>1799</v>
      </c>
      <c r="C928" s="2" t="s">
        <v>276</v>
      </c>
      <c r="D928" s="2">
        <v>8454.0</v>
      </c>
      <c r="E928" s="5">
        <v>46057.0</v>
      </c>
      <c r="F928" s="5">
        <v>46115.0</v>
      </c>
      <c r="G928" s="2" t="s">
        <v>1800</v>
      </c>
      <c r="H928" s="2" t="s">
        <v>1801</v>
      </c>
      <c r="I928" s="8">
        <v>1776207.0</v>
      </c>
    </row>
    <row r="929" ht="22.5" customHeight="1">
      <c r="A929" s="2">
        <v>928.0</v>
      </c>
      <c r="B929" s="2" t="s">
        <v>1802</v>
      </c>
      <c r="C929" s="2" t="s">
        <v>272</v>
      </c>
      <c r="D929" s="2">
        <v>6343.0</v>
      </c>
      <c r="E929" s="5">
        <v>46236.0</v>
      </c>
      <c r="F929" s="5">
        <v>46144.0</v>
      </c>
      <c r="G929" s="2" t="s">
        <v>1803</v>
      </c>
      <c r="H929" s="2" t="s">
        <v>1804</v>
      </c>
      <c r="I929" s="8">
        <v>975.0</v>
      </c>
    </row>
    <row r="930" ht="22.5" customHeight="1">
      <c r="A930" s="2">
        <v>929.0</v>
      </c>
      <c r="B930" s="2" t="s">
        <v>1802</v>
      </c>
      <c r="C930" s="2" t="s">
        <v>272</v>
      </c>
      <c r="D930" s="2">
        <v>6343.0</v>
      </c>
      <c r="E930" s="5">
        <v>46236.0</v>
      </c>
      <c r="F930" s="5">
        <v>46144.0</v>
      </c>
      <c r="G930" s="2" t="s">
        <v>1803</v>
      </c>
      <c r="H930" s="2" t="s">
        <v>1804</v>
      </c>
      <c r="I930" s="8">
        <v>975.0</v>
      </c>
    </row>
    <row r="931" ht="22.5" customHeight="1">
      <c r="A931" s="2">
        <v>930.0</v>
      </c>
      <c r="B931" s="2" t="s">
        <v>1805</v>
      </c>
      <c r="C931" s="2" t="s">
        <v>269</v>
      </c>
      <c r="D931" s="2">
        <v>879.0</v>
      </c>
      <c r="E931" s="5">
        <v>46058.0</v>
      </c>
      <c r="F931" s="6">
        <v>46146.0</v>
      </c>
      <c r="G931" s="8">
        <v>975412.0</v>
      </c>
      <c r="H931" s="2" t="s">
        <v>1806</v>
      </c>
      <c r="I931" s="2" t="s">
        <v>1807</v>
      </c>
    </row>
    <row r="932" ht="22.5" customHeight="1">
      <c r="A932" s="2">
        <v>931.0</v>
      </c>
      <c r="B932" s="2" t="s">
        <v>1808</v>
      </c>
      <c r="C932" s="2" t="s">
        <v>272</v>
      </c>
      <c r="D932" s="2">
        <v>1697.0</v>
      </c>
      <c r="E932" s="5">
        <v>46236.0</v>
      </c>
      <c r="F932" s="5">
        <v>46144.0</v>
      </c>
      <c r="G932" s="8">
        <v>1041459.0</v>
      </c>
      <c r="H932" s="8">
        <v>855520.0</v>
      </c>
      <c r="I932" s="2" t="s">
        <v>1809</v>
      </c>
    </row>
    <row r="933" ht="22.5" customHeight="1">
      <c r="A933" s="2">
        <v>932.0</v>
      </c>
      <c r="B933" s="2" t="s">
        <v>1808</v>
      </c>
      <c r="C933" s="2" t="s">
        <v>317</v>
      </c>
      <c r="D933" s="2">
        <v>731.0</v>
      </c>
      <c r="E933" s="5">
        <v>46148.0</v>
      </c>
      <c r="F933" s="5">
        <v>46027.0</v>
      </c>
      <c r="G933" s="8">
        <v>1041428.0</v>
      </c>
      <c r="H933" s="8">
        <v>667665.0</v>
      </c>
      <c r="I933" s="8" t="s">
        <v>1810</v>
      </c>
    </row>
    <row r="934" ht="22.5" customHeight="1">
      <c r="A934" s="2">
        <v>933.0</v>
      </c>
      <c r="B934" s="2" t="s">
        <v>1808</v>
      </c>
      <c r="C934" s="2" t="s">
        <v>272</v>
      </c>
      <c r="D934" s="2">
        <v>1696.0</v>
      </c>
      <c r="E934" s="5">
        <v>46236.0</v>
      </c>
      <c r="F934" s="5">
        <v>46144.0</v>
      </c>
      <c r="G934" s="8">
        <v>1040425.0</v>
      </c>
      <c r="H934" s="7">
        <v>4240.0</v>
      </c>
      <c r="I934" s="2" t="s">
        <v>1811</v>
      </c>
    </row>
    <row r="935" ht="22.5" customHeight="1">
      <c r="A935" s="2">
        <v>934.0</v>
      </c>
      <c r="B935" s="2" t="s">
        <v>1812</v>
      </c>
      <c r="C935" s="2" t="s">
        <v>272</v>
      </c>
      <c r="D935" s="2">
        <v>629.0</v>
      </c>
      <c r="E935" s="5">
        <v>46236.0</v>
      </c>
      <c r="F935" s="5">
        <v>46144.0</v>
      </c>
      <c r="G935" s="8" t="s">
        <v>1813</v>
      </c>
      <c r="H935" s="8" t="s">
        <v>1814</v>
      </c>
      <c r="I935" s="2" t="s">
        <v>1815</v>
      </c>
    </row>
    <row r="936" ht="22.5" customHeight="1">
      <c r="A936" s="2">
        <v>935.0</v>
      </c>
      <c r="B936" s="2" t="s">
        <v>1812</v>
      </c>
      <c r="C936" s="2" t="s">
        <v>276</v>
      </c>
      <c r="D936" s="2">
        <v>419.0</v>
      </c>
      <c r="E936" s="5">
        <v>46057.0</v>
      </c>
      <c r="F936" s="5">
        <v>46115.0</v>
      </c>
      <c r="G936" s="8" t="s">
        <v>1816</v>
      </c>
      <c r="H936" s="8" t="s">
        <v>1817</v>
      </c>
      <c r="I936" s="2" t="s">
        <v>1818</v>
      </c>
    </row>
    <row r="937" ht="22.5" customHeight="1">
      <c r="A937" s="2">
        <v>936.0</v>
      </c>
      <c r="B937" s="2" t="s">
        <v>1812</v>
      </c>
      <c r="C937" s="2" t="s">
        <v>272</v>
      </c>
      <c r="D937" s="2">
        <v>630.0</v>
      </c>
      <c r="E937" s="5">
        <v>46236.0</v>
      </c>
      <c r="F937" s="5">
        <v>46144.0</v>
      </c>
      <c r="G937" s="2">
        <v>1764.0</v>
      </c>
      <c r="H937" s="7">
        <v>1575.0</v>
      </c>
      <c r="I937" s="2">
        <v>189.0</v>
      </c>
    </row>
    <row r="938" ht="22.5" customHeight="1">
      <c r="A938" s="2">
        <v>937.0</v>
      </c>
      <c r="B938" s="2" t="s">
        <v>1819</v>
      </c>
      <c r="C938" s="2" t="s">
        <v>270</v>
      </c>
      <c r="D938" s="2">
        <v>77251.0</v>
      </c>
      <c r="E938" s="5">
        <v>46061.0</v>
      </c>
      <c r="F938" s="5">
        <v>46059.0</v>
      </c>
      <c r="G938" s="2" t="s">
        <v>1820</v>
      </c>
      <c r="H938" s="2" t="s">
        <v>1821</v>
      </c>
      <c r="I938" s="2">
        <v>154502.0</v>
      </c>
    </row>
    <row r="939" ht="22.5" customHeight="1">
      <c r="A939" s="2">
        <v>938.0</v>
      </c>
      <c r="B939" s="2" t="s">
        <v>1822</v>
      </c>
      <c r="C939" s="2" t="s">
        <v>278</v>
      </c>
      <c r="D939" s="2">
        <v>21713.0</v>
      </c>
      <c r="E939" s="5">
        <v>46115.0</v>
      </c>
      <c r="F939" s="2" t="s">
        <v>279</v>
      </c>
      <c r="G939" s="2" t="s">
        <v>1823</v>
      </c>
      <c r="H939" s="2" t="s">
        <v>1824</v>
      </c>
      <c r="I939" s="2" t="s">
        <v>1825</v>
      </c>
    </row>
    <row r="940" ht="22.5" customHeight="1">
      <c r="A940" s="2">
        <v>939.0</v>
      </c>
      <c r="B940" s="2" t="s">
        <v>1822</v>
      </c>
      <c r="C940" s="2" t="s">
        <v>278</v>
      </c>
      <c r="D940" s="2">
        <v>21712.0</v>
      </c>
      <c r="E940" s="5">
        <v>46115.0</v>
      </c>
      <c r="F940" s="2" t="s">
        <v>279</v>
      </c>
      <c r="G940" s="2" t="s">
        <v>1826</v>
      </c>
      <c r="H940" s="2" t="s">
        <v>1827</v>
      </c>
      <c r="I940" s="2" t="s">
        <v>1828</v>
      </c>
    </row>
    <row r="941" ht="22.5" customHeight="1">
      <c r="A941" s="2">
        <v>940.0</v>
      </c>
      <c r="B941" s="2" t="s">
        <v>1822</v>
      </c>
      <c r="C941" s="2" t="s">
        <v>269</v>
      </c>
      <c r="D941" s="2">
        <v>14197.0</v>
      </c>
      <c r="E941" s="5">
        <v>46058.0</v>
      </c>
      <c r="F941" s="6">
        <v>46146.0</v>
      </c>
      <c r="G941" s="2" t="s">
        <v>1829</v>
      </c>
      <c r="H941" s="2" t="s">
        <v>1830</v>
      </c>
      <c r="I941" s="2" t="s">
        <v>1831</v>
      </c>
    </row>
    <row r="942" ht="22.5" customHeight="1">
      <c r="A942" s="2">
        <v>941.0</v>
      </c>
      <c r="B942" s="2" t="s">
        <v>1832</v>
      </c>
      <c r="C942" s="2" t="s">
        <v>272</v>
      </c>
      <c r="D942" s="2">
        <v>37172.0</v>
      </c>
      <c r="E942" s="5">
        <v>46236.0</v>
      </c>
      <c r="F942" s="5">
        <v>46144.0</v>
      </c>
      <c r="G942" s="2" t="s">
        <v>1833</v>
      </c>
      <c r="H942" s="7">
        <v>92930.0</v>
      </c>
      <c r="I942" s="2" t="s">
        <v>1834</v>
      </c>
    </row>
    <row r="943" ht="22.5" customHeight="1">
      <c r="A943" s="2">
        <v>942.0</v>
      </c>
      <c r="B943" s="2" t="s">
        <v>1832</v>
      </c>
      <c r="C943" s="2" t="s">
        <v>317</v>
      </c>
      <c r="D943" s="2">
        <v>16013.0</v>
      </c>
      <c r="E943" s="5">
        <v>46148.0</v>
      </c>
      <c r="F943" s="5">
        <v>46027.0</v>
      </c>
      <c r="G943" s="2" t="s">
        <v>1835</v>
      </c>
      <c r="H943" s="2" t="s">
        <v>1836</v>
      </c>
      <c r="I943" s="2" t="s">
        <v>1837</v>
      </c>
    </row>
    <row r="944" ht="22.5" customHeight="1">
      <c r="A944" s="2">
        <v>943.0</v>
      </c>
      <c r="B944" s="2" t="s">
        <v>1838</v>
      </c>
      <c r="C944" s="2" t="s">
        <v>276</v>
      </c>
      <c r="D944" s="2">
        <v>1551.0</v>
      </c>
      <c r="E944" s="5">
        <v>46057.0</v>
      </c>
      <c r="F944" s="5">
        <v>46115.0</v>
      </c>
      <c r="G944" s="8">
        <v>1685262.0</v>
      </c>
      <c r="H944" s="8">
        <v>1232056.0</v>
      </c>
      <c r="I944" s="8" t="s">
        <v>1839</v>
      </c>
    </row>
    <row r="945" ht="22.5" customHeight="1">
      <c r="A945" s="2">
        <v>944.0</v>
      </c>
      <c r="B945" s="2" t="s">
        <v>1838</v>
      </c>
      <c r="C945" s="2" t="s">
        <v>276</v>
      </c>
      <c r="D945" s="2">
        <v>1550.0</v>
      </c>
      <c r="E945" s="5">
        <v>46057.0</v>
      </c>
      <c r="F945" s="5">
        <v>46115.0</v>
      </c>
      <c r="G945" s="2">
        <v>6510.0</v>
      </c>
      <c r="H945" s="7">
        <v>5270.0</v>
      </c>
      <c r="I945" s="2">
        <v>1240.0</v>
      </c>
    </row>
    <row r="946" ht="22.5" customHeight="1">
      <c r="A946" s="2">
        <v>945.0</v>
      </c>
      <c r="B946" s="2" t="s">
        <v>1838</v>
      </c>
      <c r="C946" s="2" t="s">
        <v>276</v>
      </c>
      <c r="D946" s="2">
        <v>1551.0</v>
      </c>
      <c r="E946" s="5">
        <v>46057.0</v>
      </c>
      <c r="F946" s="5">
        <v>46115.0</v>
      </c>
      <c r="G946" s="8">
        <v>1685262.0</v>
      </c>
      <c r="H946" s="8">
        <v>1232056.0</v>
      </c>
      <c r="I946" s="8" t="s">
        <v>1839</v>
      </c>
    </row>
    <row r="947" ht="22.5" customHeight="1">
      <c r="A947" s="2">
        <v>946.0</v>
      </c>
      <c r="B947" s="2" t="s">
        <v>1840</v>
      </c>
      <c r="C947" s="2" t="s">
        <v>317</v>
      </c>
      <c r="D947" s="2">
        <v>2804.0</v>
      </c>
      <c r="E947" s="5">
        <v>46148.0</v>
      </c>
      <c r="F947" s="5">
        <v>46027.0</v>
      </c>
      <c r="G947" s="2">
        <v>18226.0</v>
      </c>
      <c r="H947" s="2" t="s">
        <v>1841</v>
      </c>
      <c r="I947" s="8">
        <v>739769.0</v>
      </c>
    </row>
    <row r="948" ht="22.5" customHeight="1">
      <c r="A948" s="2">
        <v>947.0</v>
      </c>
      <c r="B948" s="2" t="s">
        <v>1842</v>
      </c>
      <c r="C948" s="2" t="s">
        <v>272</v>
      </c>
      <c r="D948" s="2">
        <v>1914.0</v>
      </c>
      <c r="E948" s="5">
        <v>46236.0</v>
      </c>
      <c r="F948" s="5">
        <v>46144.0</v>
      </c>
      <c r="G948" s="8">
        <v>1263407.0</v>
      </c>
      <c r="H948" s="7">
        <v>4785.0</v>
      </c>
      <c r="I948" s="2" t="s">
        <v>1843</v>
      </c>
    </row>
    <row r="949" ht="22.5" customHeight="1">
      <c r="A949" s="2">
        <v>948.0</v>
      </c>
      <c r="B949" s="2" t="s">
        <v>1844</v>
      </c>
      <c r="C949" s="2" t="s">
        <v>291</v>
      </c>
      <c r="D949" s="2">
        <v>1539.0</v>
      </c>
      <c r="E949" s="5">
        <v>46240.0</v>
      </c>
      <c r="F949" s="5">
        <v>46027.0</v>
      </c>
      <c r="G949" s="2" t="s">
        <v>1845</v>
      </c>
      <c r="H949" s="8">
        <v>2172708.0</v>
      </c>
      <c r="I949" s="8">
        <v>261575.0</v>
      </c>
    </row>
    <row r="950" ht="22.5" customHeight="1">
      <c r="A950" s="2">
        <v>949.0</v>
      </c>
      <c r="B950" s="2" t="s">
        <v>1844</v>
      </c>
      <c r="C950" s="2" t="s">
        <v>291</v>
      </c>
      <c r="D950" s="2">
        <v>1539.0</v>
      </c>
      <c r="E950" s="5">
        <v>46240.0</v>
      </c>
      <c r="F950" s="5">
        <v>46027.0</v>
      </c>
      <c r="G950" s="2" t="s">
        <v>1845</v>
      </c>
      <c r="H950" s="8">
        <v>2172708.0</v>
      </c>
      <c r="I950" s="8">
        <v>261575.0</v>
      </c>
    </row>
    <row r="951" ht="22.5" customHeight="1">
      <c r="A951" s="2">
        <v>950.0</v>
      </c>
      <c r="B951" s="2" t="s">
        <v>1846</v>
      </c>
      <c r="C951" s="2" t="s">
        <v>317</v>
      </c>
      <c r="D951" s="2">
        <v>1143.0</v>
      </c>
      <c r="E951" s="5">
        <v>46148.0</v>
      </c>
      <c r="F951" s="5">
        <v>46027.0</v>
      </c>
      <c r="G951" s="8">
        <v>2019548.0</v>
      </c>
      <c r="H951" s="8">
        <v>1435099.0</v>
      </c>
      <c r="I951" s="8" t="s">
        <v>1847</v>
      </c>
    </row>
    <row r="952" ht="22.5" customHeight="1">
      <c r="A952" s="2">
        <v>951.0</v>
      </c>
      <c r="B952" s="2" t="s">
        <v>1846</v>
      </c>
      <c r="C952" s="2" t="s">
        <v>276</v>
      </c>
      <c r="D952" s="2">
        <v>1770.0</v>
      </c>
      <c r="E952" s="5">
        <v>46057.0</v>
      </c>
      <c r="F952" s="5">
        <v>46115.0</v>
      </c>
      <c r="G952" s="2">
        <v>7434.0</v>
      </c>
      <c r="H952" s="7">
        <v>6018.0</v>
      </c>
      <c r="I952" s="2">
        <v>1416.0</v>
      </c>
    </row>
    <row r="953" ht="22.5" customHeight="1">
      <c r="A953" s="2">
        <v>952.0</v>
      </c>
      <c r="B953" s="2" t="s">
        <v>1846</v>
      </c>
      <c r="C953" s="2" t="s">
        <v>272</v>
      </c>
      <c r="D953" s="2">
        <v>2654.0</v>
      </c>
      <c r="E953" s="5">
        <v>46236.0</v>
      </c>
      <c r="F953" s="5">
        <v>46144.0</v>
      </c>
      <c r="G953" s="8">
        <v>2020189.0</v>
      </c>
      <c r="H953" s="7">
        <v>6635.0</v>
      </c>
      <c r="I953" s="2" t="s">
        <v>1848</v>
      </c>
    </row>
    <row r="954" ht="22.5" customHeight="1">
      <c r="A954" s="2">
        <v>953.0</v>
      </c>
      <c r="B954" s="2" t="s">
        <v>1849</v>
      </c>
      <c r="C954" s="2" t="s">
        <v>276</v>
      </c>
      <c r="D954" s="2">
        <v>11184.0</v>
      </c>
      <c r="E954" s="5">
        <v>46057.0</v>
      </c>
      <c r="F954" s="5">
        <v>46115.0</v>
      </c>
      <c r="G954" s="2" t="s">
        <v>1850</v>
      </c>
      <c r="H954" s="2" t="s">
        <v>1851</v>
      </c>
      <c r="I954" s="8">
        <v>2573897.0</v>
      </c>
    </row>
    <row r="955" ht="22.5" customHeight="1">
      <c r="A955" s="2">
        <v>954.0</v>
      </c>
      <c r="B955" s="2" t="s">
        <v>1852</v>
      </c>
      <c r="C955" s="2" t="s">
        <v>276</v>
      </c>
      <c r="D955" s="2">
        <v>650.0</v>
      </c>
      <c r="E955" s="5">
        <v>46057.0</v>
      </c>
      <c r="F955" s="5">
        <v>46115.0</v>
      </c>
      <c r="G955" s="2">
        <v>2730.0</v>
      </c>
      <c r="H955" s="7">
        <v>2210.0</v>
      </c>
      <c r="I955" s="2">
        <v>520.0</v>
      </c>
    </row>
    <row r="956" ht="22.5" customHeight="1">
      <c r="A956" s="2">
        <v>955.0</v>
      </c>
      <c r="B956" s="2" t="s">
        <v>1852</v>
      </c>
      <c r="C956" s="2" t="s">
        <v>272</v>
      </c>
      <c r="D956" s="2">
        <v>975.0</v>
      </c>
      <c r="E956" s="5">
        <v>46236.0</v>
      </c>
      <c r="F956" s="5">
        <v>46144.0</v>
      </c>
      <c r="G956" s="2">
        <v>2730.0</v>
      </c>
      <c r="H956" s="8">
        <v>196258.0</v>
      </c>
      <c r="I956" s="2" t="s">
        <v>1853</v>
      </c>
    </row>
    <row r="957" ht="22.5" customHeight="1">
      <c r="A957" s="2">
        <v>956.0</v>
      </c>
      <c r="B957" s="2" t="s">
        <v>1852</v>
      </c>
      <c r="C957" s="2" t="s">
        <v>317</v>
      </c>
      <c r="D957" s="2">
        <v>420.0</v>
      </c>
      <c r="E957" s="5">
        <v>46148.0</v>
      </c>
      <c r="F957" s="5">
        <v>46027.0</v>
      </c>
      <c r="G957" s="2">
        <v>2730.0</v>
      </c>
      <c r="H957" s="7">
        <v>2142.0</v>
      </c>
      <c r="I957" s="2">
        <v>588.0</v>
      </c>
    </row>
    <row r="958" ht="22.5" customHeight="1">
      <c r="A958" s="2">
        <v>957.0</v>
      </c>
      <c r="B958" s="2" t="s">
        <v>1854</v>
      </c>
      <c r="C958" s="2" t="s">
        <v>269</v>
      </c>
      <c r="D958" s="2">
        <v>2111.0</v>
      </c>
      <c r="E958" s="5">
        <v>46058.0</v>
      </c>
      <c r="F958" s="6">
        <v>46146.0</v>
      </c>
      <c r="G958" s="2" t="s">
        <v>1855</v>
      </c>
      <c r="H958" s="2" t="s">
        <v>1856</v>
      </c>
      <c r="I958" s="2" t="s">
        <v>1857</v>
      </c>
    </row>
    <row r="959" ht="22.5" customHeight="1">
      <c r="A959" s="2">
        <v>958.0</v>
      </c>
      <c r="B959" s="2" t="s">
        <v>1854</v>
      </c>
      <c r="C959" s="2" t="s">
        <v>269</v>
      </c>
      <c r="D959" s="2">
        <v>2111.0</v>
      </c>
      <c r="E959" s="5">
        <v>46058.0</v>
      </c>
      <c r="F959" s="6">
        <v>46146.0</v>
      </c>
      <c r="G959" s="2" t="s">
        <v>1855</v>
      </c>
      <c r="H959" s="2" t="s">
        <v>1856</v>
      </c>
      <c r="I959" s="2" t="s">
        <v>1857</v>
      </c>
    </row>
    <row r="960" ht="22.5" customHeight="1">
      <c r="A960" s="2">
        <v>959.0</v>
      </c>
      <c r="B960" s="2" t="s">
        <v>1854</v>
      </c>
      <c r="C960" s="2" t="s">
        <v>278</v>
      </c>
      <c r="D960" s="2">
        <v>3230.0</v>
      </c>
      <c r="E960" s="5">
        <v>46115.0</v>
      </c>
      <c r="F960" s="2" t="s">
        <v>279</v>
      </c>
      <c r="G960" s="2">
        <v>10982.0</v>
      </c>
      <c r="H960" s="8">
        <v>2668219.0</v>
      </c>
      <c r="I960" s="8" t="s">
        <v>1858</v>
      </c>
    </row>
    <row r="961" ht="22.5" customHeight="1">
      <c r="A961" s="2">
        <v>960.0</v>
      </c>
      <c r="B961" s="2" t="s">
        <v>1859</v>
      </c>
      <c r="C961" s="2" t="s">
        <v>269</v>
      </c>
      <c r="D961" s="2">
        <v>22128.0</v>
      </c>
      <c r="E961" s="5">
        <v>46058.0</v>
      </c>
      <c r="F961" s="6">
        <v>46146.0</v>
      </c>
      <c r="G961" s="2" t="s">
        <v>1860</v>
      </c>
      <c r="H961" s="2" t="s">
        <v>1861</v>
      </c>
      <c r="I961" s="2" t="s">
        <v>1862</v>
      </c>
    </row>
    <row r="962" ht="22.5" customHeight="1">
      <c r="A962" s="2">
        <v>961.0</v>
      </c>
      <c r="B962" s="2" t="s">
        <v>1863</v>
      </c>
      <c r="C962" s="2" t="s">
        <v>272</v>
      </c>
      <c r="D962" s="2">
        <v>5039.0</v>
      </c>
      <c r="E962" s="5">
        <v>46236.0</v>
      </c>
      <c r="F962" s="5">
        <v>46144.0</v>
      </c>
      <c r="G962" s="2" t="s">
        <v>1864</v>
      </c>
      <c r="H962" s="2" t="s">
        <v>1865</v>
      </c>
      <c r="I962" s="8" t="s">
        <v>1866</v>
      </c>
    </row>
    <row r="963" ht="22.5" customHeight="1">
      <c r="A963" s="2">
        <v>962.0</v>
      </c>
      <c r="B963" s="2" t="s">
        <v>1867</v>
      </c>
      <c r="C963" s="2" t="s">
        <v>272</v>
      </c>
      <c r="D963" s="2">
        <v>9675.0</v>
      </c>
      <c r="E963" s="5">
        <v>46236.0</v>
      </c>
      <c r="F963" s="5">
        <v>46144.0</v>
      </c>
      <c r="G963" s="2">
        <v>27090.0</v>
      </c>
      <c r="H963" s="2" t="s">
        <v>1868</v>
      </c>
      <c r="I963" s="8">
        <v>366095.0</v>
      </c>
    </row>
    <row r="964" ht="22.5" customHeight="1">
      <c r="A964" s="2">
        <v>963.0</v>
      </c>
      <c r="B964" s="2" t="s">
        <v>1869</v>
      </c>
      <c r="C964" s="2" t="s">
        <v>272</v>
      </c>
      <c r="D964" s="2">
        <v>1661.0</v>
      </c>
      <c r="E964" s="5">
        <v>46236.0</v>
      </c>
      <c r="F964" s="5">
        <v>46144.0</v>
      </c>
      <c r="G964" s="8">
        <v>1004631.0</v>
      </c>
      <c r="H964" s="8">
        <v>822649.0</v>
      </c>
      <c r="I964" s="2" t="s">
        <v>1870</v>
      </c>
    </row>
    <row r="965" ht="22.5" customHeight="1">
      <c r="A965" s="2">
        <v>964.0</v>
      </c>
      <c r="B965" s="2" t="s">
        <v>1869</v>
      </c>
      <c r="C965" s="2" t="s">
        <v>276</v>
      </c>
      <c r="D965" s="2">
        <v>1107.0</v>
      </c>
      <c r="E965" s="5">
        <v>46057.0</v>
      </c>
      <c r="F965" s="5">
        <v>46115.0</v>
      </c>
      <c r="G965" s="8">
        <v>1004144.0</v>
      </c>
      <c r="H965" s="8">
        <v>680661.0</v>
      </c>
      <c r="I965" s="2" t="s">
        <v>938</v>
      </c>
    </row>
    <row r="966" ht="22.5" customHeight="1">
      <c r="A966" s="2">
        <v>965.0</v>
      </c>
      <c r="B966" s="2" t="s">
        <v>1869</v>
      </c>
      <c r="C966" s="2" t="s">
        <v>272</v>
      </c>
      <c r="D966" s="2">
        <v>1660.0</v>
      </c>
      <c r="E966" s="5">
        <v>46236.0</v>
      </c>
      <c r="F966" s="5">
        <v>46144.0</v>
      </c>
      <c r="G966" s="2">
        <v>4648.0</v>
      </c>
      <c r="H966" s="7">
        <v>4150.0</v>
      </c>
      <c r="I966" s="2">
        <v>498.0</v>
      </c>
    </row>
    <row r="967" ht="22.5" customHeight="1">
      <c r="A967" s="2">
        <v>966.0</v>
      </c>
      <c r="B967" s="2" t="s">
        <v>1871</v>
      </c>
      <c r="C967" s="2" t="s">
        <v>272</v>
      </c>
      <c r="D967" s="2">
        <v>3713.0</v>
      </c>
      <c r="E967" s="5">
        <v>46236.0</v>
      </c>
      <c r="F967" s="5">
        <v>46144.0</v>
      </c>
      <c r="G967" s="2" t="s">
        <v>1872</v>
      </c>
      <c r="H967" s="8">
        <v>2696343.0</v>
      </c>
      <c r="I967" s="8" t="s">
        <v>1873</v>
      </c>
    </row>
    <row r="968" ht="22.5" customHeight="1">
      <c r="A968" s="2">
        <v>967.0</v>
      </c>
      <c r="B968" s="2" t="s">
        <v>1871</v>
      </c>
      <c r="C968" s="2" t="s">
        <v>317</v>
      </c>
      <c r="D968" s="2">
        <v>1599.0</v>
      </c>
      <c r="E968" s="5">
        <v>46148.0</v>
      </c>
      <c r="F968" s="5">
        <v>46027.0</v>
      </c>
      <c r="G968" s="2" t="s">
        <v>1874</v>
      </c>
      <c r="H968" s="8">
        <v>2284472.0</v>
      </c>
      <c r="I968" s="8">
        <v>123605.0</v>
      </c>
    </row>
    <row r="969" ht="22.5" customHeight="1">
      <c r="A969" s="2">
        <v>968.0</v>
      </c>
      <c r="B969" s="2" t="s">
        <v>1875</v>
      </c>
      <c r="C969" s="2" t="s">
        <v>272</v>
      </c>
      <c r="D969" s="2">
        <v>1886.0</v>
      </c>
      <c r="E969" s="5">
        <v>46236.0</v>
      </c>
      <c r="F969" s="5">
        <v>46144.0</v>
      </c>
      <c r="G969" s="8">
        <v>1234735.0</v>
      </c>
      <c r="H969" s="7">
        <v>4715.0</v>
      </c>
      <c r="I969" s="2" t="s">
        <v>1876</v>
      </c>
    </row>
    <row r="970" ht="22.5" customHeight="1">
      <c r="A970" s="2">
        <v>969.0</v>
      </c>
      <c r="B970" s="2" t="s">
        <v>1877</v>
      </c>
      <c r="C970" s="2" t="s">
        <v>272</v>
      </c>
      <c r="D970" s="2">
        <v>2265.0</v>
      </c>
      <c r="E970" s="5">
        <v>46236.0</v>
      </c>
      <c r="F970" s="5">
        <v>46144.0</v>
      </c>
      <c r="G970" s="2">
        <v>6342.0</v>
      </c>
      <c r="H970" s="8">
        <v>1374165.0</v>
      </c>
      <c r="I970" s="2" t="s">
        <v>1878</v>
      </c>
    </row>
    <row r="971" ht="22.5" customHeight="1">
      <c r="A971" s="2">
        <v>970.0</v>
      </c>
      <c r="B971" s="2" t="s">
        <v>1877</v>
      </c>
      <c r="C971" s="2" t="s">
        <v>276</v>
      </c>
      <c r="D971" s="2">
        <v>1510.0</v>
      </c>
      <c r="E971" s="5">
        <v>46057.0</v>
      </c>
      <c r="F971" s="5">
        <v>46115.0</v>
      </c>
      <c r="G971" s="2">
        <v>6342.0</v>
      </c>
      <c r="H971" s="7">
        <v>5134.0</v>
      </c>
      <c r="I971" s="2">
        <v>1208.0</v>
      </c>
    </row>
    <row r="972" ht="22.5" customHeight="1">
      <c r="A972" s="2">
        <v>971.0</v>
      </c>
      <c r="B972" s="2" t="s">
        <v>1877</v>
      </c>
      <c r="C972" s="2" t="s">
        <v>272</v>
      </c>
      <c r="D972" s="2">
        <v>2266.0</v>
      </c>
      <c r="E972" s="5">
        <v>46236.0</v>
      </c>
      <c r="F972" s="5">
        <v>46144.0</v>
      </c>
      <c r="G972" s="8">
        <v>1623352.0</v>
      </c>
      <c r="H972" s="7">
        <v>5665.0</v>
      </c>
      <c r="I972" s="2" t="s">
        <v>1879</v>
      </c>
    </row>
    <row r="973" ht="22.5" customHeight="1">
      <c r="A973" s="2">
        <v>972.0</v>
      </c>
      <c r="B973" s="2" t="s">
        <v>1880</v>
      </c>
      <c r="C973" s="2" t="s">
        <v>317</v>
      </c>
      <c r="D973" s="2">
        <v>373.0</v>
      </c>
      <c r="E973" s="5">
        <v>46148.0</v>
      </c>
      <c r="F973" s="5">
        <v>46027.0</v>
      </c>
      <c r="G973" s="8">
        <v>191510.0</v>
      </c>
      <c r="H973" s="8">
        <v>791.0</v>
      </c>
      <c r="I973" s="2" t="s">
        <v>553</v>
      </c>
    </row>
    <row r="974" ht="22.5" customHeight="1">
      <c r="A974" s="2">
        <v>973.0</v>
      </c>
      <c r="B974" s="2" t="s">
        <v>1880</v>
      </c>
      <c r="C974" s="2" t="s">
        <v>272</v>
      </c>
      <c r="D974" s="2">
        <v>868.0</v>
      </c>
      <c r="E974" s="5">
        <v>46236.0</v>
      </c>
      <c r="F974" s="5">
        <v>46144.0</v>
      </c>
      <c r="G974" s="8">
        <v>193671.0</v>
      </c>
      <c r="H974" s="7">
        <v>2170.0</v>
      </c>
      <c r="I974" s="2" t="s">
        <v>551</v>
      </c>
    </row>
    <row r="975" ht="22.5" customHeight="1">
      <c r="A975" s="2">
        <v>974.0</v>
      </c>
      <c r="B975" s="2" t="s">
        <v>1881</v>
      </c>
      <c r="C975" s="2" t="s">
        <v>272</v>
      </c>
      <c r="D975" s="2">
        <v>811.0</v>
      </c>
      <c r="E975" s="5">
        <v>46236.0</v>
      </c>
      <c r="F975" s="5">
        <v>46144.0</v>
      </c>
      <c r="G975" s="8">
        <v>135354.0</v>
      </c>
      <c r="H975" s="8">
        <v>46508.0</v>
      </c>
      <c r="I975" s="2" t="s">
        <v>1882</v>
      </c>
    </row>
    <row r="976" ht="22.5" customHeight="1">
      <c r="A976" s="2">
        <v>975.0</v>
      </c>
      <c r="B976" s="2" t="s">
        <v>1881</v>
      </c>
      <c r="C976" s="2" t="s">
        <v>276</v>
      </c>
      <c r="D976" s="2">
        <v>541.0</v>
      </c>
      <c r="E976" s="5">
        <v>46057.0</v>
      </c>
      <c r="F976" s="5">
        <v>46115.0</v>
      </c>
      <c r="G976" s="8">
        <v>135903.0</v>
      </c>
      <c r="H976" s="8" t="s">
        <v>1883</v>
      </c>
      <c r="I976" s="2" t="s">
        <v>1884</v>
      </c>
    </row>
    <row r="977" ht="22.5" customHeight="1">
      <c r="A977" s="2">
        <v>976.0</v>
      </c>
      <c r="B977" s="2" t="s">
        <v>1885</v>
      </c>
      <c r="C977" s="2" t="s">
        <v>278</v>
      </c>
      <c r="D977" s="2">
        <v>4313.0</v>
      </c>
      <c r="E977" s="5">
        <v>46115.0</v>
      </c>
      <c r="F977" s="2" t="s">
        <v>279</v>
      </c>
      <c r="G977" s="2" t="s">
        <v>1886</v>
      </c>
      <c r="H977" s="2" t="s">
        <v>1887</v>
      </c>
      <c r="I977" s="2" t="s">
        <v>1888</v>
      </c>
    </row>
    <row r="978" ht="22.5" customHeight="1">
      <c r="A978" s="2">
        <v>977.0</v>
      </c>
      <c r="B978" s="2" t="s">
        <v>1885</v>
      </c>
      <c r="C978" s="2" t="s">
        <v>278</v>
      </c>
      <c r="D978" s="2">
        <v>4312.0</v>
      </c>
      <c r="E978" s="5">
        <v>46115.0</v>
      </c>
      <c r="F978" s="2" t="s">
        <v>279</v>
      </c>
      <c r="G978" s="2" t="s">
        <v>1889</v>
      </c>
      <c r="H978" s="2" t="s">
        <v>1890</v>
      </c>
      <c r="I978" s="8">
        <v>172182.0</v>
      </c>
    </row>
    <row r="979" ht="22.5" customHeight="1">
      <c r="A979" s="2">
        <v>978.0</v>
      </c>
      <c r="B979" s="2" t="s">
        <v>1891</v>
      </c>
      <c r="C979" s="2" t="s">
        <v>272</v>
      </c>
      <c r="D979" s="2">
        <v>311.0</v>
      </c>
      <c r="E979" s="5">
        <v>46236.0</v>
      </c>
      <c r="F979" s="5">
        <v>46144.0</v>
      </c>
      <c r="G979" s="2" t="s">
        <v>1892</v>
      </c>
      <c r="H979" s="2" t="s">
        <v>1893</v>
      </c>
      <c r="I979" s="2" t="s">
        <v>1894</v>
      </c>
    </row>
    <row r="980" ht="22.5" customHeight="1">
      <c r="A980" s="2">
        <v>979.0</v>
      </c>
      <c r="B980" s="2" t="s">
        <v>1891</v>
      </c>
      <c r="C980" s="2" t="s">
        <v>272</v>
      </c>
      <c r="D980" s="2">
        <v>310.0</v>
      </c>
      <c r="E980" s="5">
        <v>46236.0</v>
      </c>
      <c r="F980" s="5">
        <v>46144.0</v>
      </c>
      <c r="G980" s="2">
        <v>868.0</v>
      </c>
      <c r="H980" s="7">
        <v>775.0</v>
      </c>
      <c r="I980" s="2">
        <v>93.0</v>
      </c>
    </row>
    <row r="981" ht="22.5" customHeight="1">
      <c r="A981" s="2">
        <v>980.0</v>
      </c>
      <c r="B981" s="2" t="s">
        <v>1895</v>
      </c>
      <c r="C981" s="2" t="s">
        <v>270</v>
      </c>
      <c r="D981" s="2">
        <v>21984.0</v>
      </c>
      <c r="E981" s="5">
        <v>46061.0</v>
      </c>
      <c r="F981" s="5">
        <v>46059.0</v>
      </c>
      <c r="G981" s="2" t="s">
        <v>1896</v>
      </c>
      <c r="H981" s="2" t="s">
        <v>1897</v>
      </c>
      <c r="I981" s="2">
        <v>43968.0</v>
      </c>
    </row>
    <row r="982" ht="22.5" customHeight="1">
      <c r="A982" s="2">
        <v>981.0</v>
      </c>
      <c r="B982" s="2" t="s">
        <v>1898</v>
      </c>
      <c r="C982" s="2" t="s">
        <v>276</v>
      </c>
      <c r="D982" s="2">
        <v>9183.0</v>
      </c>
      <c r="E982" s="5">
        <v>46057.0</v>
      </c>
      <c r="F982" s="5">
        <v>46115.0</v>
      </c>
      <c r="G982" s="2" t="s">
        <v>1899</v>
      </c>
      <c r="H982" s="2" t="s">
        <v>1900</v>
      </c>
      <c r="I982" s="8">
        <v>1989203.0</v>
      </c>
    </row>
    <row r="983" ht="22.5" customHeight="1">
      <c r="A983" s="2">
        <v>982.0</v>
      </c>
      <c r="B983" s="2" t="s">
        <v>1898</v>
      </c>
      <c r="C983" s="2" t="s">
        <v>317</v>
      </c>
      <c r="D983" s="2">
        <v>5933.0</v>
      </c>
      <c r="E983" s="5">
        <v>46148.0</v>
      </c>
      <c r="F983" s="5">
        <v>46027.0</v>
      </c>
      <c r="G983" s="2" t="s">
        <v>1901</v>
      </c>
      <c r="H983" s="2" t="s">
        <v>1902</v>
      </c>
      <c r="I983" s="8">
        <v>2339776.0</v>
      </c>
    </row>
    <row r="984" ht="22.5" customHeight="1">
      <c r="A984" s="2">
        <v>983.0</v>
      </c>
      <c r="B984" s="2" t="s">
        <v>1898</v>
      </c>
      <c r="C984" s="2" t="s">
        <v>317</v>
      </c>
      <c r="D984" s="2">
        <v>5934.0</v>
      </c>
      <c r="E984" s="5">
        <v>46148.0</v>
      </c>
      <c r="F984" s="5">
        <v>46027.0</v>
      </c>
      <c r="G984" s="2">
        <v>38571.0</v>
      </c>
      <c r="H984" s="2" t="s">
        <v>1903</v>
      </c>
      <c r="I984" s="8">
        <v>2340261.0</v>
      </c>
    </row>
    <row r="985" ht="22.5" customHeight="1">
      <c r="A985" s="2">
        <v>984.0</v>
      </c>
      <c r="B985" s="2" t="s">
        <v>1904</v>
      </c>
      <c r="C985" s="2" t="s">
        <v>276</v>
      </c>
      <c r="D985" s="2">
        <v>157.0</v>
      </c>
      <c r="E985" s="5">
        <v>46057.0</v>
      </c>
      <c r="F985" s="5">
        <v>46115.0</v>
      </c>
      <c r="G985" s="2" t="s">
        <v>1905</v>
      </c>
      <c r="H985" s="2" t="s">
        <v>1906</v>
      </c>
      <c r="I985" s="2" t="s">
        <v>1907</v>
      </c>
    </row>
    <row r="986" ht="22.5" customHeight="1">
      <c r="A986" s="2">
        <v>985.0</v>
      </c>
      <c r="B986" s="2" t="s">
        <v>1904</v>
      </c>
      <c r="C986" s="2" t="s">
        <v>317</v>
      </c>
      <c r="D986" s="2">
        <v>101.0</v>
      </c>
      <c r="E986" s="5">
        <v>46148.0</v>
      </c>
      <c r="F986" s="5">
        <v>46027.0</v>
      </c>
      <c r="G986" s="2" t="s">
        <v>1908</v>
      </c>
      <c r="H986" s="2" t="s">
        <v>1909</v>
      </c>
      <c r="I986" s="2" t="s">
        <v>1910</v>
      </c>
    </row>
    <row r="987" ht="22.5" customHeight="1">
      <c r="A987" s="2">
        <v>986.0</v>
      </c>
      <c r="B987" s="2" t="s">
        <v>1904</v>
      </c>
      <c r="C987" s="2" t="s">
        <v>276</v>
      </c>
      <c r="D987" s="2">
        <v>156.0</v>
      </c>
      <c r="E987" s="5">
        <v>46057.0</v>
      </c>
      <c r="F987" s="5">
        <v>46115.0</v>
      </c>
      <c r="G987" s="2" t="s">
        <v>1524</v>
      </c>
      <c r="H987" s="2" t="s">
        <v>1911</v>
      </c>
      <c r="I987" s="2" t="s">
        <v>1639</v>
      </c>
    </row>
    <row r="988" ht="22.5" customHeight="1">
      <c r="A988" s="2">
        <v>987.0</v>
      </c>
      <c r="B988" s="2" t="s">
        <v>1912</v>
      </c>
      <c r="C988" s="2" t="s">
        <v>276</v>
      </c>
      <c r="D988" s="2">
        <v>588.0</v>
      </c>
      <c r="E988" s="5">
        <v>46057.0</v>
      </c>
      <c r="F988" s="5">
        <v>46115.0</v>
      </c>
      <c r="G988" s="8">
        <v>207977.0</v>
      </c>
      <c r="H988" s="8">
        <v>36192.0</v>
      </c>
      <c r="I988" s="2" t="s">
        <v>1913</v>
      </c>
    </row>
    <row r="989" ht="22.5" customHeight="1">
      <c r="A989" s="2">
        <v>988.0</v>
      </c>
      <c r="B989" s="2" t="s">
        <v>1912</v>
      </c>
      <c r="C989" s="2" t="s">
        <v>317</v>
      </c>
      <c r="D989" s="2">
        <v>380.0</v>
      </c>
      <c r="E989" s="5">
        <v>46148.0</v>
      </c>
      <c r="F989" s="5">
        <v>46027.0</v>
      </c>
      <c r="G989" s="2">
        <v>2470.0</v>
      </c>
      <c r="H989" s="7">
        <v>1938.0</v>
      </c>
      <c r="I989" s="2">
        <v>532.0</v>
      </c>
    </row>
    <row r="990" ht="22.5" customHeight="1">
      <c r="A990" s="2">
        <v>989.0</v>
      </c>
      <c r="B990" s="2" t="s">
        <v>1914</v>
      </c>
      <c r="C990" s="2" t="s">
        <v>272</v>
      </c>
      <c r="D990" s="2">
        <v>3728.0</v>
      </c>
      <c r="E990" s="5">
        <v>46236.0</v>
      </c>
      <c r="F990" s="5">
        <v>46144.0</v>
      </c>
      <c r="G990" s="2" t="s">
        <v>1915</v>
      </c>
      <c r="H990" s="7">
        <v>9320.0</v>
      </c>
      <c r="I990" s="8" t="s">
        <v>1916</v>
      </c>
    </row>
    <row r="991" ht="22.5" customHeight="1">
      <c r="A991" s="2">
        <v>990.0</v>
      </c>
      <c r="B991" s="2" t="s">
        <v>1917</v>
      </c>
      <c r="C991" s="2" t="s">
        <v>272</v>
      </c>
      <c r="D991" s="2">
        <v>5671.0</v>
      </c>
      <c r="E991" s="5">
        <v>46236.0</v>
      </c>
      <c r="F991" s="5">
        <v>46144.0</v>
      </c>
      <c r="G991" s="2" t="s">
        <v>1918</v>
      </c>
      <c r="H991" s="2" t="s">
        <v>1919</v>
      </c>
      <c r="I991" s="8" t="s">
        <v>1920</v>
      </c>
    </row>
    <row r="992" ht="22.5" customHeight="1">
      <c r="A992" s="2">
        <v>991.0</v>
      </c>
      <c r="B992" s="2" t="s">
        <v>1921</v>
      </c>
      <c r="C992" s="2" t="s">
        <v>317</v>
      </c>
      <c r="D992" s="2">
        <v>2081.0</v>
      </c>
      <c r="E992" s="5">
        <v>46148.0</v>
      </c>
      <c r="F992" s="5">
        <v>46027.0</v>
      </c>
      <c r="G992" s="2" t="s">
        <v>1922</v>
      </c>
      <c r="H992" s="2" t="s">
        <v>1923</v>
      </c>
      <c r="I992" s="8">
        <v>370083.0</v>
      </c>
    </row>
    <row r="993" ht="22.5" customHeight="1">
      <c r="A993" s="2">
        <v>992.0</v>
      </c>
      <c r="B993" s="2" t="s">
        <v>1921</v>
      </c>
      <c r="C993" s="2" t="s">
        <v>276</v>
      </c>
      <c r="D993" s="2">
        <v>3221.0</v>
      </c>
      <c r="E993" s="5">
        <v>46057.0</v>
      </c>
      <c r="F993" s="5">
        <v>46115.0</v>
      </c>
      <c r="G993" s="2" t="s">
        <v>1924</v>
      </c>
      <c r="H993" s="2" t="s">
        <v>1925</v>
      </c>
      <c r="I993" s="8">
        <v>247119.0</v>
      </c>
    </row>
    <row r="994" ht="22.5" customHeight="1">
      <c r="A994" s="2">
        <v>993.0</v>
      </c>
      <c r="B994" s="2" t="s">
        <v>1921</v>
      </c>
      <c r="C994" s="2" t="s">
        <v>276</v>
      </c>
      <c r="D994" s="2">
        <v>3222.0</v>
      </c>
      <c r="E994" s="5">
        <v>46057.0</v>
      </c>
      <c r="F994" s="5">
        <v>46115.0</v>
      </c>
      <c r="G994" s="2" t="s">
        <v>1926</v>
      </c>
      <c r="H994" s="2" t="s">
        <v>1927</v>
      </c>
      <c r="I994" s="8">
        <v>247423.0</v>
      </c>
    </row>
    <row r="995" ht="22.5" customHeight="1">
      <c r="A995" s="2">
        <v>994.0</v>
      </c>
      <c r="B995" s="2" t="s">
        <v>1928</v>
      </c>
      <c r="C995" s="2" t="s">
        <v>269</v>
      </c>
      <c r="D995" s="2">
        <v>9059.0</v>
      </c>
      <c r="E995" s="5">
        <v>46058.0</v>
      </c>
      <c r="F995" s="6">
        <v>46146.0</v>
      </c>
      <c r="G995" s="2" t="s">
        <v>1929</v>
      </c>
      <c r="H995" s="2" t="s">
        <v>1930</v>
      </c>
      <c r="I995" s="2" t="s">
        <v>1931</v>
      </c>
    </row>
    <row r="996" ht="22.5" customHeight="1">
      <c r="A996" s="2">
        <v>995.0</v>
      </c>
      <c r="B996" s="2" t="s">
        <v>1928</v>
      </c>
      <c r="C996" s="2" t="s">
        <v>278</v>
      </c>
      <c r="D996" s="2">
        <v>13855.0</v>
      </c>
      <c r="E996" s="5">
        <v>46115.0</v>
      </c>
      <c r="F996" s="2" t="s">
        <v>279</v>
      </c>
      <c r="G996" s="2">
        <v>47107.0</v>
      </c>
      <c r="H996" s="2" t="s">
        <v>1932</v>
      </c>
      <c r="I996" s="2" t="s">
        <v>1933</v>
      </c>
    </row>
    <row r="997" ht="22.5" customHeight="1">
      <c r="A997" s="2">
        <v>996.0</v>
      </c>
      <c r="B997" s="2" t="s">
        <v>1928</v>
      </c>
      <c r="C997" s="2" t="s">
        <v>278</v>
      </c>
      <c r="D997" s="2">
        <v>13855.0</v>
      </c>
      <c r="E997" s="5">
        <v>46115.0</v>
      </c>
      <c r="F997" s="2" t="s">
        <v>279</v>
      </c>
      <c r="G997" s="2">
        <v>47107.0</v>
      </c>
      <c r="H997" s="2" t="s">
        <v>1932</v>
      </c>
      <c r="I997" s="2" t="s">
        <v>1933</v>
      </c>
    </row>
    <row r="998" ht="22.5" customHeight="1">
      <c r="A998" s="2">
        <v>997.0</v>
      </c>
      <c r="B998" s="2" t="s">
        <v>1934</v>
      </c>
      <c r="C998" s="2" t="s">
        <v>278</v>
      </c>
      <c r="D998" s="2">
        <v>38209.0</v>
      </c>
      <c r="E998" s="5">
        <v>46115.0</v>
      </c>
      <c r="F998" s="2" t="s">
        <v>279</v>
      </c>
      <c r="G998" s="2" t="s">
        <v>1935</v>
      </c>
      <c r="H998" s="2" t="s">
        <v>1936</v>
      </c>
      <c r="I998" s="2" t="s">
        <v>1937</v>
      </c>
    </row>
    <row r="999" ht="22.5" customHeight="1">
      <c r="A999" s="2">
        <v>998.0</v>
      </c>
      <c r="B999" s="2" t="s">
        <v>1938</v>
      </c>
      <c r="C999" s="2" t="s">
        <v>317</v>
      </c>
      <c r="D999" s="2">
        <v>1110.0</v>
      </c>
      <c r="E999" s="5">
        <v>46148.0</v>
      </c>
      <c r="F999" s="5">
        <v>46027.0</v>
      </c>
      <c r="G999" s="2">
        <v>7215.0</v>
      </c>
      <c r="H999" s="7">
        <v>5661.0</v>
      </c>
      <c r="I999" s="2">
        <v>1554.0</v>
      </c>
    </row>
    <row r="1000" ht="22.5" customHeight="1">
      <c r="A1000" s="2">
        <v>999.0</v>
      </c>
      <c r="B1000" s="2" t="s">
        <v>1939</v>
      </c>
      <c r="C1000" s="2" t="s">
        <v>317</v>
      </c>
      <c r="D1000" s="2">
        <v>1169.0</v>
      </c>
      <c r="E1000" s="5">
        <v>46148.0</v>
      </c>
      <c r="F1000" s="5">
        <v>46027.0</v>
      </c>
      <c r="G1000" s="8">
        <v>2081274.0</v>
      </c>
      <c r="H1000" s="8">
        <v>1483495.0</v>
      </c>
      <c r="I1000" s="8" t="s">
        <v>1940</v>
      </c>
    </row>
    <row r="1001" ht="22.5" customHeight="1">
      <c r="A1001" s="2">
        <v>1000.0</v>
      </c>
      <c r="B1001" s="2" t="s">
        <v>1939</v>
      </c>
      <c r="C1001" s="2" t="s">
        <v>317</v>
      </c>
      <c r="D1001" s="2">
        <v>1169.0</v>
      </c>
      <c r="E1001" s="5">
        <v>46148.0</v>
      </c>
      <c r="F1001" s="5">
        <v>46027.0</v>
      </c>
      <c r="G1001" s="8">
        <v>2081274.0</v>
      </c>
      <c r="H1001" s="8">
        <v>1483495.0</v>
      </c>
      <c r="I1001" s="8" t="s">
        <v>1940</v>
      </c>
    </row>
    <row r="1002" ht="22.5" customHeight="1">
      <c r="A1002" s="2">
        <v>1001.0</v>
      </c>
      <c r="B1002" s="2" t="s">
        <v>1941</v>
      </c>
      <c r="C1002" s="2" t="s">
        <v>272</v>
      </c>
      <c r="D1002" s="2">
        <v>1775.0</v>
      </c>
      <c r="E1002" s="5">
        <v>46236.0</v>
      </c>
      <c r="F1002" s="5">
        <v>46144.0</v>
      </c>
      <c r="G1002" s="2">
        <v>4970.0</v>
      </c>
      <c r="H1002" s="8">
        <v>926743.0</v>
      </c>
      <c r="I1002" s="2" t="s">
        <v>1942</v>
      </c>
    </row>
    <row r="1003" ht="22.5" customHeight="1">
      <c r="A1003" s="2">
        <v>1002.0</v>
      </c>
      <c r="B1003" s="2" t="s">
        <v>1941</v>
      </c>
      <c r="C1003" s="2" t="s">
        <v>317</v>
      </c>
      <c r="D1003" s="2">
        <v>764.0</v>
      </c>
      <c r="E1003" s="5">
        <v>46148.0</v>
      </c>
      <c r="F1003" s="5">
        <v>46027.0</v>
      </c>
      <c r="G1003" s="2">
        <v>4966.0</v>
      </c>
      <c r="H1003" s="8">
        <v>729117.0</v>
      </c>
      <c r="I1003" s="8" t="s">
        <v>775</v>
      </c>
    </row>
    <row r="1004" ht="22.5" customHeight="1">
      <c r="A1004" s="2">
        <v>1003.0</v>
      </c>
      <c r="B1004" s="2" t="s">
        <v>1941</v>
      </c>
      <c r="C1004" s="2" t="s">
        <v>317</v>
      </c>
      <c r="D1004" s="2">
        <v>765.0</v>
      </c>
      <c r="E1004" s="5">
        <v>46148.0</v>
      </c>
      <c r="F1004" s="5">
        <v>46027.0</v>
      </c>
      <c r="G1004" s="8">
        <v>1122148.0</v>
      </c>
      <c r="H1004" s="8">
        <v>730972.0</v>
      </c>
      <c r="I1004" s="2">
        <v>1071.0</v>
      </c>
    </row>
    <row r="1005" ht="22.5" customHeight="1">
      <c r="A1005" s="2">
        <v>1004.0</v>
      </c>
      <c r="B1005" s="2" t="s">
        <v>1943</v>
      </c>
      <c r="C1005" s="2" t="s">
        <v>272</v>
      </c>
      <c r="D1005" s="2">
        <v>2101.0</v>
      </c>
      <c r="E1005" s="5">
        <v>46236.0</v>
      </c>
      <c r="F1005" s="5">
        <v>46144.0</v>
      </c>
      <c r="G1005" s="8">
        <v>1454610.0</v>
      </c>
      <c r="H1005" s="8">
        <v>1224416.0</v>
      </c>
      <c r="I1005" s="2" t="s">
        <v>1944</v>
      </c>
    </row>
    <row r="1006" ht="22.5" customHeight="1">
      <c r="A1006" s="2">
        <v>1005.0</v>
      </c>
      <c r="B1006" s="2" t="s">
        <v>1943</v>
      </c>
      <c r="C1006" s="2" t="s">
        <v>272</v>
      </c>
      <c r="D1006" s="2">
        <v>2101.0</v>
      </c>
      <c r="E1006" s="5">
        <v>46236.0</v>
      </c>
      <c r="F1006" s="5">
        <v>46144.0</v>
      </c>
      <c r="G1006" s="8">
        <v>1454610.0</v>
      </c>
      <c r="H1006" s="8">
        <v>1224416.0</v>
      </c>
      <c r="I1006" s="2" t="s">
        <v>1944</v>
      </c>
    </row>
    <row r="1007" ht="22.5" customHeight="1">
      <c r="A1007" s="2">
        <v>1006.0</v>
      </c>
      <c r="B1007" s="2" t="s">
        <v>1943</v>
      </c>
      <c r="C1007" s="2" t="s">
        <v>276</v>
      </c>
      <c r="D1007" s="2">
        <v>1401.0</v>
      </c>
      <c r="E1007" s="5">
        <v>46057.0</v>
      </c>
      <c r="F1007" s="5">
        <v>46115.0</v>
      </c>
      <c r="G1007" s="8">
        <v>1455159.0</v>
      </c>
      <c r="H1007" s="8">
        <v>1045781.0</v>
      </c>
      <c r="I1007" s="8" t="s">
        <v>1945</v>
      </c>
    </row>
    <row r="1008" ht="22.5" customHeight="1">
      <c r="A1008" s="2">
        <v>1007.0</v>
      </c>
      <c r="B1008" s="2" t="s">
        <v>1946</v>
      </c>
      <c r="C1008" s="2" t="s">
        <v>269</v>
      </c>
      <c r="D1008" s="2">
        <v>1088.0</v>
      </c>
      <c r="E1008" s="5">
        <v>46058.0</v>
      </c>
      <c r="F1008" s="6">
        <v>46146.0</v>
      </c>
      <c r="G1008" s="8">
        <v>1372370.0</v>
      </c>
      <c r="H1008" s="8">
        <v>915390.0</v>
      </c>
      <c r="I1008" s="8" t="s">
        <v>1947</v>
      </c>
    </row>
    <row r="1009" ht="22.5" customHeight="1">
      <c r="A1009" s="2">
        <v>1008.0</v>
      </c>
      <c r="B1009" s="2" t="s">
        <v>1946</v>
      </c>
      <c r="C1009" s="2" t="s">
        <v>269</v>
      </c>
      <c r="D1009" s="2">
        <v>1089.0</v>
      </c>
      <c r="E1009" s="5">
        <v>46058.0</v>
      </c>
      <c r="F1009" s="6">
        <v>46146.0</v>
      </c>
      <c r="G1009" s="8">
        <v>1374257.0</v>
      </c>
      <c r="H1009" s="2" t="s">
        <v>1948</v>
      </c>
      <c r="I1009" s="2" t="s">
        <v>1949</v>
      </c>
    </row>
    <row r="1010" ht="22.5" customHeight="1">
      <c r="A1010" s="2">
        <v>1009.0</v>
      </c>
      <c r="B1010" s="2" t="s">
        <v>1950</v>
      </c>
      <c r="C1010" s="2" t="s">
        <v>272</v>
      </c>
      <c r="D1010" s="2">
        <v>2299.0</v>
      </c>
      <c r="E1010" s="5">
        <v>46236.0</v>
      </c>
      <c r="F1010" s="5">
        <v>46144.0</v>
      </c>
      <c r="G1010" s="8">
        <v>1657139.0</v>
      </c>
      <c r="H1010" s="8">
        <v>1405210.0</v>
      </c>
      <c r="I1010" s="2" t="s">
        <v>1951</v>
      </c>
    </row>
    <row r="1011" ht="22.5" customHeight="1">
      <c r="A1011" s="2">
        <v>1010.0</v>
      </c>
      <c r="B1011" s="2" t="s">
        <v>1952</v>
      </c>
      <c r="C1011" s="2" t="s">
        <v>311</v>
      </c>
      <c r="D1011" s="2">
        <v>11630.0</v>
      </c>
      <c r="E1011" s="5">
        <v>46057.0</v>
      </c>
      <c r="F1011" s="5">
        <v>46084.0</v>
      </c>
      <c r="G1011" s="2">
        <v>48846.0</v>
      </c>
      <c r="H1011" s="7">
        <v>38379.0</v>
      </c>
      <c r="I1011" s="2">
        <v>10467.0</v>
      </c>
    </row>
    <row r="1012" ht="22.5" customHeight="1">
      <c r="A1012" s="2">
        <v>1011.0</v>
      </c>
      <c r="B1012" s="2" t="s">
        <v>1953</v>
      </c>
      <c r="C1012" s="2" t="s">
        <v>269</v>
      </c>
      <c r="D1012" s="2">
        <v>11074.0</v>
      </c>
      <c r="E1012" s="5">
        <v>46058.0</v>
      </c>
      <c r="F1012" s="6">
        <v>46146.0</v>
      </c>
      <c r="G1012" s="2" t="s">
        <v>1954</v>
      </c>
      <c r="H1012" s="2" t="s">
        <v>1955</v>
      </c>
      <c r="I1012" s="2" t="s">
        <v>1956</v>
      </c>
    </row>
    <row r="1013" ht="22.5" customHeight="1">
      <c r="A1013" s="2">
        <v>1012.0</v>
      </c>
      <c r="B1013" s="2" t="s">
        <v>1953</v>
      </c>
      <c r="C1013" s="2" t="s">
        <v>278</v>
      </c>
      <c r="D1013" s="2">
        <v>16937.0</v>
      </c>
      <c r="E1013" s="5">
        <v>46115.0</v>
      </c>
      <c r="F1013" s="2" t="s">
        <v>279</v>
      </c>
      <c r="G1013" s="2" t="s">
        <v>1957</v>
      </c>
      <c r="H1013" s="2" t="s">
        <v>1958</v>
      </c>
      <c r="I1013" s="2" t="s">
        <v>1959</v>
      </c>
    </row>
    <row r="1014" ht="22.5" customHeight="1">
      <c r="A1014" s="2">
        <v>1013.0</v>
      </c>
      <c r="B1014" s="2" t="s">
        <v>1960</v>
      </c>
      <c r="C1014" s="2" t="s">
        <v>276</v>
      </c>
      <c r="D1014" s="2">
        <v>5360.0</v>
      </c>
      <c r="E1014" s="5">
        <v>46057.0</v>
      </c>
      <c r="F1014" s="5">
        <v>46115.0</v>
      </c>
      <c r="G1014" s="2">
        <v>22512.0</v>
      </c>
      <c r="H1014" s="7">
        <v>18224.0</v>
      </c>
      <c r="I1014" s="2">
        <v>4288.0</v>
      </c>
    </row>
    <row r="1015" ht="22.5" customHeight="1">
      <c r="A1015" s="2">
        <v>1014.0</v>
      </c>
      <c r="B1015" s="2" t="s">
        <v>1961</v>
      </c>
      <c r="C1015" s="2" t="s">
        <v>317</v>
      </c>
      <c r="D1015" s="2">
        <v>928.0</v>
      </c>
      <c r="E1015" s="5">
        <v>46148.0</v>
      </c>
      <c r="F1015" s="5">
        <v>46027.0</v>
      </c>
      <c r="G1015" s="2">
        <v>6032.0</v>
      </c>
      <c r="H1015" s="8">
        <v>1034581.0</v>
      </c>
      <c r="I1015" s="8" t="s">
        <v>1962</v>
      </c>
    </row>
    <row r="1016" ht="22.5" customHeight="1">
      <c r="A1016" s="2">
        <v>1015.0</v>
      </c>
      <c r="B1016" s="2" t="s">
        <v>1961</v>
      </c>
      <c r="C1016" s="2" t="s">
        <v>272</v>
      </c>
      <c r="D1016" s="2">
        <v>2156.0</v>
      </c>
      <c r="E1016" s="5">
        <v>46236.0</v>
      </c>
      <c r="F1016" s="5">
        <v>46144.0</v>
      </c>
      <c r="G1016" s="8">
        <v>1510858.0</v>
      </c>
      <c r="H1016" s="7">
        <v>5390.0</v>
      </c>
      <c r="I1016" s="2" t="s">
        <v>1304</v>
      </c>
    </row>
    <row r="1017" ht="22.5" customHeight="1">
      <c r="A1017" s="2">
        <v>1016.0</v>
      </c>
      <c r="B1017" s="2" t="s">
        <v>1961</v>
      </c>
      <c r="C1017" s="2" t="s">
        <v>272</v>
      </c>
      <c r="D1017" s="2">
        <v>2155.0</v>
      </c>
      <c r="E1017" s="5">
        <v>46236.0</v>
      </c>
      <c r="F1017" s="5">
        <v>46144.0</v>
      </c>
      <c r="G1017" s="2">
        <v>6034.0</v>
      </c>
      <c r="H1017" s="8">
        <v>1273723.0</v>
      </c>
      <c r="I1017" s="2" t="s">
        <v>1963</v>
      </c>
    </row>
    <row r="1018" ht="22.5" customHeight="1">
      <c r="A1018" s="2">
        <v>1017.0</v>
      </c>
      <c r="B1018" s="2" t="s">
        <v>1964</v>
      </c>
      <c r="C1018" s="2" t="s">
        <v>276</v>
      </c>
      <c r="D1018" s="2">
        <v>671.0</v>
      </c>
      <c r="E1018" s="5">
        <v>46057.0</v>
      </c>
      <c r="F1018" s="5">
        <v>46115.0</v>
      </c>
      <c r="G1018" s="8">
        <v>335326.0</v>
      </c>
      <c r="H1018" s="8">
        <v>139250.0</v>
      </c>
      <c r="I1018" s="2" t="s">
        <v>1965</v>
      </c>
    </row>
    <row r="1019" ht="22.5" customHeight="1">
      <c r="A1019" s="2">
        <v>1018.0</v>
      </c>
      <c r="B1019" s="2" t="s">
        <v>1964</v>
      </c>
      <c r="C1019" s="2" t="s">
        <v>276</v>
      </c>
      <c r="D1019" s="2">
        <v>671.0</v>
      </c>
      <c r="E1019" s="5">
        <v>46057.0</v>
      </c>
      <c r="F1019" s="5">
        <v>46115.0</v>
      </c>
      <c r="G1019" s="8">
        <v>335326.0</v>
      </c>
      <c r="H1019" s="8">
        <v>139250.0</v>
      </c>
      <c r="I1019" s="2" t="s">
        <v>1965</v>
      </c>
    </row>
    <row r="1020" ht="22.5" customHeight="1">
      <c r="A1020" s="2">
        <v>1019.0</v>
      </c>
      <c r="B1020" s="2" t="s">
        <v>1966</v>
      </c>
      <c r="C1020" s="2" t="s">
        <v>276</v>
      </c>
      <c r="D1020" s="2">
        <v>551.0</v>
      </c>
      <c r="E1020" s="5">
        <v>46057.0</v>
      </c>
      <c r="F1020" s="5">
        <v>46115.0</v>
      </c>
      <c r="G1020" s="8">
        <v>151243.0</v>
      </c>
      <c r="H1020" s="8" t="s">
        <v>1967</v>
      </c>
      <c r="I1020" s="2" t="s">
        <v>1968</v>
      </c>
    </row>
    <row r="1021" ht="22.5" customHeight="1">
      <c r="A1021" s="2">
        <v>1020.0</v>
      </c>
      <c r="B1021" s="2" t="s">
        <v>1966</v>
      </c>
      <c r="C1021" s="2" t="s">
        <v>272</v>
      </c>
      <c r="D1021" s="2">
        <v>827.0</v>
      </c>
      <c r="E1021" s="5">
        <v>46236.0</v>
      </c>
      <c r="F1021" s="5">
        <v>46144.0</v>
      </c>
      <c r="G1021" s="8">
        <v>151728.0</v>
      </c>
      <c r="H1021" s="8">
        <v>61118.0</v>
      </c>
      <c r="I1021" s="2" t="s">
        <v>1969</v>
      </c>
    </row>
    <row r="1022" ht="22.5" customHeight="1">
      <c r="A1022" s="2">
        <v>1021.0</v>
      </c>
      <c r="B1022" s="2" t="s">
        <v>1966</v>
      </c>
      <c r="C1022" s="2" t="s">
        <v>317</v>
      </c>
      <c r="D1022" s="2">
        <v>356.0</v>
      </c>
      <c r="E1022" s="5">
        <v>46148.0</v>
      </c>
      <c r="F1022" s="5">
        <v>46027.0</v>
      </c>
      <c r="G1022" s="2">
        <v>2314.0</v>
      </c>
      <c r="H1022" s="8" t="s">
        <v>1970</v>
      </c>
      <c r="I1022" s="2" t="s">
        <v>1971</v>
      </c>
    </row>
    <row r="1023" ht="22.5" customHeight="1">
      <c r="A1023" s="2">
        <v>1022.0</v>
      </c>
      <c r="B1023" s="2" t="s">
        <v>1972</v>
      </c>
      <c r="C1023" s="2" t="s">
        <v>276</v>
      </c>
      <c r="D1023" s="2">
        <v>2666.0</v>
      </c>
      <c r="E1023" s="5">
        <v>46057.0</v>
      </c>
      <c r="F1023" s="5">
        <v>46115.0</v>
      </c>
      <c r="G1023" s="2" t="s">
        <v>1973</v>
      </c>
      <c r="H1023" s="8">
        <v>2616690.0</v>
      </c>
      <c r="I1023" s="8">
        <v>84951.0</v>
      </c>
    </row>
    <row r="1024" ht="22.5" customHeight="1">
      <c r="A1024" s="2">
        <v>1023.0</v>
      </c>
      <c r="B1024" s="2" t="s">
        <v>1972</v>
      </c>
      <c r="C1024" s="2" t="s">
        <v>272</v>
      </c>
      <c r="D1024" s="2">
        <v>4000.0</v>
      </c>
      <c r="E1024" s="5">
        <v>46236.0</v>
      </c>
      <c r="F1024" s="5">
        <v>46144.0</v>
      </c>
      <c r="G1024" s="2">
        <v>11200.0</v>
      </c>
      <c r="H1024" s="7">
        <v>10000.0</v>
      </c>
      <c r="I1024" s="2">
        <v>1200.0</v>
      </c>
    </row>
    <row r="1025" ht="22.5" customHeight="1">
      <c r="A1025" s="2">
        <v>1024.0</v>
      </c>
      <c r="B1025" s="2" t="s">
        <v>1974</v>
      </c>
      <c r="C1025" s="2" t="s">
        <v>272</v>
      </c>
      <c r="D1025" s="2">
        <v>2029.0</v>
      </c>
      <c r="E1025" s="5">
        <v>46236.0</v>
      </c>
      <c r="F1025" s="5">
        <v>46144.0</v>
      </c>
      <c r="G1025" s="8">
        <v>1381016.0</v>
      </c>
      <c r="H1025" s="8">
        <v>1158672.0</v>
      </c>
      <c r="I1025" s="2" t="s">
        <v>1975</v>
      </c>
    </row>
    <row r="1026" ht="22.5" customHeight="1">
      <c r="A1026" s="2">
        <v>1025.0</v>
      </c>
      <c r="B1026" s="2" t="s">
        <v>1974</v>
      </c>
      <c r="C1026" s="2" t="s">
        <v>272</v>
      </c>
      <c r="D1026" s="2">
        <v>2029.0</v>
      </c>
      <c r="E1026" s="5">
        <v>46236.0</v>
      </c>
      <c r="F1026" s="5">
        <v>46144.0</v>
      </c>
      <c r="G1026" s="8">
        <v>1381016.0</v>
      </c>
      <c r="H1026" s="8">
        <v>1158672.0</v>
      </c>
      <c r="I1026" s="2" t="s">
        <v>1975</v>
      </c>
    </row>
    <row r="1027" ht="22.5" customHeight="1">
      <c r="A1027" s="2">
        <v>1026.0</v>
      </c>
      <c r="B1027" s="2" t="s">
        <v>1974</v>
      </c>
      <c r="C1027" s="2" t="s">
        <v>272</v>
      </c>
      <c r="D1027" s="2">
        <v>2028.0</v>
      </c>
      <c r="E1027" s="5">
        <v>46236.0</v>
      </c>
      <c r="F1027" s="5">
        <v>46144.0</v>
      </c>
      <c r="G1027" s="8">
        <v>1379979.0</v>
      </c>
      <c r="H1027" s="7">
        <v>5070.0</v>
      </c>
      <c r="I1027" s="2" t="s">
        <v>1976</v>
      </c>
    </row>
    <row r="1028" ht="22.5" customHeight="1">
      <c r="A1028" s="2">
        <v>1027.0</v>
      </c>
      <c r="B1028" s="2" t="s">
        <v>1977</v>
      </c>
      <c r="C1028" s="2" t="s">
        <v>272</v>
      </c>
      <c r="D1028" s="2">
        <v>1548.0</v>
      </c>
      <c r="E1028" s="5">
        <v>46236.0</v>
      </c>
      <c r="F1028" s="5">
        <v>46144.0</v>
      </c>
      <c r="G1028" s="8">
        <v>889092.0</v>
      </c>
      <c r="H1028" s="7">
        <v>3870.0</v>
      </c>
      <c r="I1028" s="2" t="s">
        <v>1978</v>
      </c>
    </row>
    <row r="1029" ht="22.5" customHeight="1">
      <c r="A1029" s="2">
        <v>1028.0</v>
      </c>
      <c r="B1029" s="2" t="s">
        <v>1977</v>
      </c>
      <c r="C1029" s="2" t="s">
        <v>272</v>
      </c>
      <c r="D1029" s="2">
        <v>1549.0</v>
      </c>
      <c r="E1029" s="5">
        <v>46236.0</v>
      </c>
      <c r="F1029" s="5">
        <v>46144.0</v>
      </c>
      <c r="G1029" s="8">
        <v>890129.0</v>
      </c>
      <c r="H1029" s="8">
        <v>720381.0</v>
      </c>
      <c r="I1029" s="2" t="s">
        <v>1979</v>
      </c>
    </row>
    <row r="1030" ht="22.5" customHeight="1">
      <c r="A1030" s="2">
        <v>1029.0</v>
      </c>
      <c r="B1030" s="2" t="s">
        <v>1977</v>
      </c>
      <c r="C1030" s="2" t="s">
        <v>272</v>
      </c>
      <c r="D1030" s="2">
        <v>1548.0</v>
      </c>
      <c r="E1030" s="5">
        <v>46236.0</v>
      </c>
      <c r="F1030" s="5">
        <v>46144.0</v>
      </c>
      <c r="G1030" s="8">
        <v>889092.0</v>
      </c>
      <c r="H1030" s="7">
        <v>3870.0</v>
      </c>
      <c r="I1030" s="2" t="s">
        <v>1978</v>
      </c>
    </row>
    <row r="1031" ht="22.5" customHeight="1">
      <c r="A1031" s="2">
        <v>1030.0</v>
      </c>
      <c r="B1031" s="2" t="s">
        <v>1980</v>
      </c>
      <c r="C1031" s="2" t="s">
        <v>276</v>
      </c>
      <c r="D1031" s="2">
        <v>1797.0</v>
      </c>
      <c r="E1031" s="5">
        <v>46057.0</v>
      </c>
      <c r="F1031" s="5">
        <v>46115.0</v>
      </c>
      <c r="G1031" s="8">
        <v>2062616.0</v>
      </c>
      <c r="H1031" s="8">
        <v>1537520.0</v>
      </c>
      <c r="I1031" s="8" t="s">
        <v>1981</v>
      </c>
    </row>
    <row r="1032" ht="22.5" customHeight="1">
      <c r="A1032" s="2">
        <v>1031.0</v>
      </c>
      <c r="B1032" s="2" t="s">
        <v>1980</v>
      </c>
      <c r="C1032" s="2" t="s">
        <v>272</v>
      </c>
      <c r="D1032" s="2">
        <v>2694.0</v>
      </c>
      <c r="E1032" s="5">
        <v>46236.0</v>
      </c>
      <c r="F1032" s="5">
        <v>46144.0</v>
      </c>
      <c r="G1032" s="8">
        <v>2061096.0</v>
      </c>
      <c r="H1032" s="7">
        <v>6735.0</v>
      </c>
      <c r="I1032" s="2" t="s">
        <v>1982</v>
      </c>
    </row>
    <row r="1033" ht="22.5" customHeight="1">
      <c r="A1033" s="2">
        <v>1032.0</v>
      </c>
      <c r="B1033" s="2" t="s">
        <v>1980</v>
      </c>
      <c r="C1033" s="2" t="s">
        <v>272</v>
      </c>
      <c r="D1033" s="2">
        <v>2695.0</v>
      </c>
      <c r="E1033" s="5">
        <v>46236.0</v>
      </c>
      <c r="F1033" s="5">
        <v>46144.0</v>
      </c>
      <c r="G1033" s="2">
        <v>7546.0</v>
      </c>
      <c r="H1033" s="8">
        <v>1766800.0</v>
      </c>
      <c r="I1033" s="2" t="s">
        <v>1046</v>
      </c>
    </row>
    <row r="1034" ht="22.5" customHeight="1">
      <c r="A1034" s="2">
        <v>1033.0</v>
      </c>
      <c r="B1034" s="2" t="s">
        <v>1983</v>
      </c>
      <c r="C1034" s="2" t="s">
        <v>317</v>
      </c>
      <c r="D1034" s="2">
        <v>215.0</v>
      </c>
      <c r="E1034" s="5">
        <v>46148.0</v>
      </c>
      <c r="F1034" s="5">
        <v>46027.0</v>
      </c>
      <c r="G1034" s="8" t="s">
        <v>1984</v>
      </c>
      <c r="H1034" s="8" t="s">
        <v>1985</v>
      </c>
      <c r="I1034" s="2">
        <v>301.0</v>
      </c>
    </row>
    <row r="1035" ht="22.5" customHeight="1">
      <c r="A1035" s="2">
        <v>1034.0</v>
      </c>
      <c r="B1035" s="2" t="s">
        <v>1983</v>
      </c>
      <c r="C1035" s="2" t="s">
        <v>276</v>
      </c>
      <c r="D1035" s="2">
        <v>333.0</v>
      </c>
      <c r="E1035" s="5">
        <v>46057.0</v>
      </c>
      <c r="F1035" s="5">
        <v>46115.0</v>
      </c>
      <c r="G1035" s="8" t="s">
        <v>1986</v>
      </c>
      <c r="H1035" s="8" t="s">
        <v>1987</v>
      </c>
      <c r="I1035" s="2" t="s">
        <v>1988</v>
      </c>
    </row>
    <row r="1036" ht="22.5" customHeight="1">
      <c r="A1036" s="2">
        <v>1035.0</v>
      </c>
      <c r="B1036" s="2" t="s">
        <v>1983</v>
      </c>
      <c r="C1036" s="2" t="s">
        <v>276</v>
      </c>
      <c r="D1036" s="2">
        <v>332.0</v>
      </c>
      <c r="E1036" s="5">
        <v>46057.0</v>
      </c>
      <c r="F1036" s="5">
        <v>46115.0</v>
      </c>
      <c r="G1036" s="8" t="s">
        <v>1989</v>
      </c>
      <c r="H1036" s="8" t="s">
        <v>1990</v>
      </c>
      <c r="I1036" s="2" t="s">
        <v>1991</v>
      </c>
    </row>
    <row r="1037" ht="22.5" customHeight="1">
      <c r="A1037" s="2">
        <v>1036.0</v>
      </c>
      <c r="B1037" s="2" t="s">
        <v>1992</v>
      </c>
      <c r="C1037" s="2" t="s">
        <v>269</v>
      </c>
      <c r="D1037" s="2">
        <v>1001.0</v>
      </c>
      <c r="E1037" s="5">
        <v>46058.0</v>
      </c>
      <c r="F1037" s="6">
        <v>46146.0</v>
      </c>
      <c r="G1037" s="8">
        <v>1207160.0</v>
      </c>
      <c r="H1037" s="9">
        <v>786855.0</v>
      </c>
      <c r="I1037" s="2" t="s">
        <v>1993</v>
      </c>
    </row>
    <row r="1038" ht="22.5" customHeight="1">
      <c r="A1038" s="2">
        <v>1037.0</v>
      </c>
      <c r="B1038" s="2" t="s">
        <v>1992</v>
      </c>
      <c r="C1038" s="2" t="s">
        <v>278</v>
      </c>
      <c r="D1038" s="2">
        <v>1531.0</v>
      </c>
      <c r="E1038" s="5">
        <v>46115.0</v>
      </c>
      <c r="F1038" s="2" t="s">
        <v>279</v>
      </c>
      <c r="G1038" s="8">
        <v>1207219.0</v>
      </c>
      <c r="H1038" s="2" t="s">
        <v>1994</v>
      </c>
      <c r="I1038" s="2" t="s">
        <v>1995</v>
      </c>
    </row>
    <row r="1039" ht="22.5" customHeight="1">
      <c r="A1039" s="2">
        <v>1038.0</v>
      </c>
      <c r="B1039" s="2" t="s">
        <v>1996</v>
      </c>
      <c r="C1039" s="2" t="s">
        <v>272</v>
      </c>
      <c r="D1039" s="2">
        <v>1128.0</v>
      </c>
      <c r="E1039" s="5">
        <v>46236.0</v>
      </c>
      <c r="F1039" s="5">
        <v>46144.0</v>
      </c>
      <c r="G1039" s="8">
        <v>459567.0</v>
      </c>
      <c r="H1039" s="7">
        <v>2820.0</v>
      </c>
      <c r="I1039" s="2" t="s">
        <v>1997</v>
      </c>
    </row>
    <row r="1040" ht="22.5" customHeight="1">
      <c r="A1040" s="2">
        <v>1039.0</v>
      </c>
      <c r="B1040" s="2" t="s">
        <v>1998</v>
      </c>
      <c r="C1040" s="2" t="s">
        <v>276</v>
      </c>
      <c r="D1040" s="2">
        <v>13317.0</v>
      </c>
      <c r="E1040" s="5">
        <v>46057.0</v>
      </c>
      <c r="F1040" s="5">
        <v>46115.0</v>
      </c>
      <c r="G1040" s="2" t="s">
        <v>1999</v>
      </c>
      <c r="H1040" s="2" t="s">
        <v>2000</v>
      </c>
      <c r="I1040" s="2" t="s">
        <v>2001</v>
      </c>
    </row>
    <row r="1041" ht="22.5" customHeight="1">
      <c r="A1041" s="2">
        <v>1040.0</v>
      </c>
      <c r="B1041" s="2" t="s">
        <v>1998</v>
      </c>
      <c r="C1041" s="2" t="s">
        <v>276</v>
      </c>
      <c r="D1041" s="2">
        <v>13317.0</v>
      </c>
      <c r="E1041" s="5">
        <v>46057.0</v>
      </c>
      <c r="F1041" s="5">
        <v>46115.0</v>
      </c>
      <c r="G1041" s="2" t="s">
        <v>1999</v>
      </c>
      <c r="H1041" s="2" t="s">
        <v>2000</v>
      </c>
      <c r="I1041" s="2" t="s">
        <v>2001</v>
      </c>
    </row>
    <row r="1042" ht="22.5" customHeight="1">
      <c r="A1042" s="2">
        <v>1041.0</v>
      </c>
      <c r="B1042" s="2" t="s">
        <v>1998</v>
      </c>
      <c r="C1042" s="2" t="s">
        <v>272</v>
      </c>
      <c r="D1042" s="2">
        <v>19975.0</v>
      </c>
      <c r="E1042" s="5">
        <v>46236.0</v>
      </c>
      <c r="F1042" s="5">
        <v>46144.0</v>
      </c>
      <c r="G1042" s="2">
        <v>55930.0</v>
      </c>
      <c r="H1042" s="2" t="s">
        <v>2002</v>
      </c>
      <c r="I1042" s="8">
        <v>1494695.0</v>
      </c>
    </row>
    <row r="1043" ht="22.5" customHeight="1">
      <c r="A1043" s="2">
        <v>1042.0</v>
      </c>
      <c r="B1043" s="2" t="s">
        <v>2003</v>
      </c>
      <c r="C1043" s="2" t="s">
        <v>272</v>
      </c>
      <c r="D1043" s="2">
        <v>9481.0</v>
      </c>
      <c r="E1043" s="5">
        <v>46236.0</v>
      </c>
      <c r="F1043" s="5">
        <v>46144.0</v>
      </c>
      <c r="G1043" s="2" t="s">
        <v>2004</v>
      </c>
      <c r="H1043" s="2" t="s">
        <v>2005</v>
      </c>
      <c r="I1043" s="8">
        <v>344851.0</v>
      </c>
    </row>
    <row r="1044" ht="22.5" customHeight="1">
      <c r="A1044" s="2">
        <v>1043.0</v>
      </c>
      <c r="B1044" s="2" t="s">
        <v>2003</v>
      </c>
      <c r="C1044" s="2" t="s">
        <v>276</v>
      </c>
      <c r="D1044" s="2">
        <v>6321.0</v>
      </c>
      <c r="E1044" s="5">
        <v>46057.0</v>
      </c>
      <c r="F1044" s="5">
        <v>46115.0</v>
      </c>
      <c r="G1044" s="2" t="s">
        <v>2006</v>
      </c>
      <c r="H1044" s="2" t="s">
        <v>2007</v>
      </c>
      <c r="I1044" s="8">
        <v>1152920.0</v>
      </c>
    </row>
    <row r="1045" ht="22.5" customHeight="1">
      <c r="A1045" s="2">
        <v>1044.0</v>
      </c>
      <c r="B1045" s="2" t="s">
        <v>2003</v>
      </c>
      <c r="C1045" s="2" t="s">
        <v>276</v>
      </c>
      <c r="D1045" s="2">
        <v>6321.0</v>
      </c>
      <c r="E1045" s="5">
        <v>46057.0</v>
      </c>
      <c r="F1045" s="5">
        <v>46115.0</v>
      </c>
      <c r="G1045" s="2" t="s">
        <v>2006</v>
      </c>
      <c r="H1045" s="2" t="s">
        <v>2007</v>
      </c>
      <c r="I1045" s="8">
        <v>1152920.0</v>
      </c>
    </row>
    <row r="1046" ht="22.5" customHeight="1">
      <c r="A1046" s="2">
        <v>1045.0</v>
      </c>
      <c r="B1046" s="2" t="s">
        <v>2008</v>
      </c>
      <c r="C1046" s="2" t="s">
        <v>269</v>
      </c>
      <c r="D1046" s="2">
        <v>7404.0</v>
      </c>
      <c r="E1046" s="5">
        <v>46058.0</v>
      </c>
      <c r="F1046" s="6">
        <v>46146.0</v>
      </c>
      <c r="G1046" s="2" t="s">
        <v>2009</v>
      </c>
      <c r="H1046" s="2" t="s">
        <v>2010</v>
      </c>
      <c r="I1046" s="8">
        <v>2415867.0</v>
      </c>
    </row>
    <row r="1047" ht="22.5" customHeight="1">
      <c r="A1047" s="2">
        <v>1046.0</v>
      </c>
      <c r="B1047" s="2" t="s">
        <v>2008</v>
      </c>
      <c r="C1047" s="2" t="s">
        <v>278</v>
      </c>
      <c r="D1047" s="2">
        <v>11324.0</v>
      </c>
      <c r="E1047" s="5">
        <v>46115.0</v>
      </c>
      <c r="F1047" s="2" t="s">
        <v>279</v>
      </c>
      <c r="G1047" s="2" t="s">
        <v>2011</v>
      </c>
      <c r="H1047" s="2" t="s">
        <v>2012</v>
      </c>
      <c r="I1047" s="8">
        <v>1580802.0</v>
      </c>
    </row>
    <row r="1048" ht="22.5" customHeight="1">
      <c r="A1048" s="2">
        <v>1047.0</v>
      </c>
      <c r="B1048" s="2" t="s">
        <v>2008</v>
      </c>
      <c r="C1048" s="2" t="s">
        <v>278</v>
      </c>
      <c r="D1048" s="2">
        <v>11325.0</v>
      </c>
      <c r="E1048" s="5">
        <v>46115.0</v>
      </c>
      <c r="F1048" s="2" t="s">
        <v>279</v>
      </c>
      <c r="G1048" s="2">
        <v>38505.0</v>
      </c>
      <c r="H1048" s="2" t="s">
        <v>2013</v>
      </c>
      <c r="I1048" s="2" t="s">
        <v>2014</v>
      </c>
    </row>
    <row r="1049" ht="22.5" customHeight="1">
      <c r="A1049" s="2">
        <v>1048.0</v>
      </c>
      <c r="B1049" s="2" t="s">
        <v>2015</v>
      </c>
      <c r="C1049" s="2" t="s">
        <v>276</v>
      </c>
      <c r="D1049" s="2">
        <v>12242.0</v>
      </c>
      <c r="E1049" s="5">
        <v>46057.0</v>
      </c>
      <c r="F1049" s="5">
        <v>46115.0</v>
      </c>
      <c r="G1049" s="2" t="s">
        <v>2016</v>
      </c>
      <c r="H1049" s="2" t="s">
        <v>2017</v>
      </c>
      <c r="I1049" s="8">
        <v>2883013.0</v>
      </c>
    </row>
    <row r="1050" ht="22.5" customHeight="1">
      <c r="A1050" s="2">
        <v>1049.0</v>
      </c>
      <c r="B1050" s="2" t="s">
        <v>2018</v>
      </c>
      <c r="C1050" s="2" t="s">
        <v>272</v>
      </c>
      <c r="D1050" s="2">
        <v>1703.0</v>
      </c>
      <c r="E1050" s="5">
        <v>46236.0</v>
      </c>
      <c r="F1050" s="5">
        <v>46144.0</v>
      </c>
      <c r="G1050" s="8">
        <v>1047608.0</v>
      </c>
      <c r="H1050" s="8">
        <v>860999.0</v>
      </c>
      <c r="I1050" s="2" t="s">
        <v>593</v>
      </c>
    </row>
    <row r="1051" ht="22.5" customHeight="1">
      <c r="A1051" s="2">
        <v>1050.0</v>
      </c>
      <c r="B1051" s="2" t="s">
        <v>2019</v>
      </c>
      <c r="C1051" s="2" t="s">
        <v>272</v>
      </c>
      <c r="D1051" s="2">
        <v>1342.0</v>
      </c>
      <c r="E1051" s="5">
        <v>46236.0</v>
      </c>
      <c r="F1051" s="5">
        <v>46144.0</v>
      </c>
      <c r="G1051" s="8">
        <v>678409.0</v>
      </c>
      <c r="H1051" s="7">
        <v>3355.0</v>
      </c>
      <c r="I1051" s="2" t="s">
        <v>2020</v>
      </c>
    </row>
    <row r="1052" ht="22.5" customHeight="1">
      <c r="A1052" s="2">
        <v>1051.0</v>
      </c>
      <c r="B1052" s="2" t="s">
        <v>2019</v>
      </c>
      <c r="C1052" s="2" t="s">
        <v>272</v>
      </c>
      <c r="D1052" s="2">
        <v>1343.0</v>
      </c>
      <c r="E1052" s="5">
        <v>46236.0</v>
      </c>
      <c r="F1052" s="5">
        <v>46144.0</v>
      </c>
      <c r="G1052" s="8">
        <v>679444.0</v>
      </c>
      <c r="H1052" s="8">
        <v>532281.0</v>
      </c>
      <c r="I1052" s="2" t="s">
        <v>2021</v>
      </c>
    </row>
    <row r="1053" ht="22.5" customHeight="1">
      <c r="A1053" s="2">
        <v>1052.0</v>
      </c>
      <c r="B1053" s="2" t="s">
        <v>2022</v>
      </c>
      <c r="C1053" s="2" t="s">
        <v>276</v>
      </c>
      <c r="D1053" s="2">
        <v>393.0</v>
      </c>
      <c r="E1053" s="5">
        <v>46057.0</v>
      </c>
      <c r="F1053" s="5">
        <v>46115.0</v>
      </c>
      <c r="G1053" s="8" t="s">
        <v>2023</v>
      </c>
      <c r="H1053" s="8" t="s">
        <v>344</v>
      </c>
      <c r="I1053" s="2" t="s">
        <v>2024</v>
      </c>
    </row>
    <row r="1054" ht="22.5" customHeight="1">
      <c r="A1054" s="2">
        <v>1053.0</v>
      </c>
      <c r="B1054" s="2" t="s">
        <v>2022</v>
      </c>
      <c r="C1054" s="2" t="s">
        <v>272</v>
      </c>
      <c r="D1054" s="2">
        <v>589.0</v>
      </c>
      <c r="E1054" s="5">
        <v>46236.0</v>
      </c>
      <c r="F1054" s="5">
        <v>46144.0</v>
      </c>
      <c r="G1054" s="8" t="s">
        <v>2025</v>
      </c>
      <c r="H1054" s="8" t="s">
        <v>2026</v>
      </c>
      <c r="I1054" s="2" t="s">
        <v>2027</v>
      </c>
    </row>
    <row r="1055" ht="22.5" customHeight="1">
      <c r="A1055" s="2">
        <v>1054.0</v>
      </c>
      <c r="B1055" s="2" t="s">
        <v>2028</v>
      </c>
      <c r="C1055" s="2" t="s">
        <v>317</v>
      </c>
      <c r="D1055" s="2">
        <v>531.0</v>
      </c>
      <c r="E1055" s="5">
        <v>46148.0</v>
      </c>
      <c r="F1055" s="5">
        <v>46027.0</v>
      </c>
      <c r="G1055" s="8">
        <v>566613.0</v>
      </c>
      <c r="H1055" s="8">
        <v>295117.0</v>
      </c>
      <c r="I1055" s="2" t="s">
        <v>1115</v>
      </c>
    </row>
    <row r="1056" ht="22.5" customHeight="1">
      <c r="A1056" s="2">
        <v>1055.0</v>
      </c>
      <c r="B1056" s="2" t="s">
        <v>2028</v>
      </c>
      <c r="C1056" s="2" t="s">
        <v>276</v>
      </c>
      <c r="D1056" s="2">
        <v>823.0</v>
      </c>
      <c r="E1056" s="5">
        <v>46057.0</v>
      </c>
      <c r="F1056" s="5">
        <v>46115.0</v>
      </c>
      <c r="G1056" s="8">
        <v>568471.0</v>
      </c>
      <c r="H1056" s="8">
        <v>328021.0</v>
      </c>
      <c r="I1056" s="2" t="s">
        <v>881</v>
      </c>
    </row>
    <row r="1057" ht="22.5" customHeight="1">
      <c r="A1057" s="2">
        <v>1056.0</v>
      </c>
      <c r="B1057" s="2" t="s">
        <v>2029</v>
      </c>
      <c r="C1057" s="2" t="s">
        <v>272</v>
      </c>
      <c r="D1057" s="2">
        <v>3054.0</v>
      </c>
      <c r="E1057" s="5">
        <v>46236.0</v>
      </c>
      <c r="F1057" s="5">
        <v>46144.0</v>
      </c>
      <c r="G1057" s="8">
        <v>2429261.0</v>
      </c>
      <c r="H1057" s="7">
        <v>7635.0</v>
      </c>
      <c r="I1057" s="2" t="s">
        <v>2030</v>
      </c>
    </row>
    <row r="1058" ht="22.5" customHeight="1">
      <c r="A1058" s="2">
        <v>1057.0</v>
      </c>
      <c r="B1058" s="2" t="s">
        <v>2031</v>
      </c>
      <c r="C1058" s="2" t="s">
        <v>272</v>
      </c>
      <c r="D1058" s="2">
        <v>3370.0</v>
      </c>
      <c r="E1058" s="5">
        <v>46236.0</v>
      </c>
      <c r="F1058" s="5">
        <v>46144.0</v>
      </c>
      <c r="G1058" s="2">
        <v>9436.0</v>
      </c>
      <c r="H1058" s="7">
        <v>8425.0</v>
      </c>
      <c r="I1058" s="2">
        <v>1011.0</v>
      </c>
    </row>
    <row r="1059" ht="22.5" customHeight="1">
      <c r="A1059" s="2">
        <v>1058.0</v>
      </c>
      <c r="B1059" s="2" t="s">
        <v>2031</v>
      </c>
      <c r="C1059" s="2" t="s">
        <v>317</v>
      </c>
      <c r="D1059" s="2">
        <v>1451.0</v>
      </c>
      <c r="E1059" s="5">
        <v>46148.0</v>
      </c>
      <c r="F1059" s="5">
        <v>46027.0</v>
      </c>
      <c r="G1059" s="8">
        <v>2750763.0</v>
      </c>
      <c r="H1059" s="8">
        <v>2008836.0</v>
      </c>
      <c r="I1059" s="8">
        <v>47939.0</v>
      </c>
    </row>
    <row r="1060" ht="22.5" customHeight="1">
      <c r="A1060" s="2">
        <v>1059.0</v>
      </c>
      <c r="B1060" s="2" t="s">
        <v>2032</v>
      </c>
      <c r="C1060" s="2" t="s">
        <v>272</v>
      </c>
      <c r="D1060" s="2">
        <v>1182.0</v>
      </c>
      <c r="E1060" s="5">
        <v>46236.0</v>
      </c>
      <c r="F1060" s="5">
        <v>46144.0</v>
      </c>
      <c r="G1060" s="8">
        <v>514780.0</v>
      </c>
      <c r="H1060" s="7">
        <v>2955.0</v>
      </c>
      <c r="I1060" s="2" t="s">
        <v>2033</v>
      </c>
    </row>
    <row r="1061" ht="22.5" customHeight="1">
      <c r="A1061" s="2">
        <v>1060.0</v>
      </c>
      <c r="B1061" s="2" t="s">
        <v>2032</v>
      </c>
      <c r="C1061" s="2" t="s">
        <v>317</v>
      </c>
      <c r="D1061" s="2">
        <v>509.0</v>
      </c>
      <c r="E1061" s="5">
        <v>46148.0</v>
      </c>
      <c r="F1061" s="5">
        <v>46027.0</v>
      </c>
      <c r="G1061" s="8">
        <v>514384.0</v>
      </c>
      <c r="H1061" s="8">
        <v>254089.0</v>
      </c>
      <c r="I1061" s="2" t="s">
        <v>2034</v>
      </c>
    </row>
    <row r="1062" ht="22.5" customHeight="1">
      <c r="A1062" s="2">
        <v>1061.0</v>
      </c>
      <c r="B1062" s="2" t="s">
        <v>2032</v>
      </c>
      <c r="C1062" s="2" t="s">
        <v>272</v>
      </c>
      <c r="D1062" s="2">
        <v>1181.0</v>
      </c>
      <c r="E1062" s="5">
        <v>46236.0</v>
      </c>
      <c r="F1062" s="5">
        <v>46144.0</v>
      </c>
      <c r="G1062" s="8">
        <v>513745.0</v>
      </c>
      <c r="H1062" s="8">
        <v>384358.0</v>
      </c>
      <c r="I1062" s="2" t="s">
        <v>2035</v>
      </c>
    </row>
    <row r="1063" ht="22.5" customHeight="1">
      <c r="A1063" s="2">
        <v>1062.0</v>
      </c>
      <c r="B1063" s="2" t="s">
        <v>2036</v>
      </c>
      <c r="C1063" s="2" t="s">
        <v>276</v>
      </c>
      <c r="D1063" s="2">
        <v>874.0</v>
      </c>
      <c r="E1063" s="5">
        <v>46057.0</v>
      </c>
      <c r="F1063" s="5">
        <v>46115.0</v>
      </c>
      <c r="G1063" s="8">
        <v>646694.0</v>
      </c>
      <c r="H1063" s="8">
        <v>391328.0</v>
      </c>
      <c r="I1063" s="2" t="s">
        <v>2037</v>
      </c>
    </row>
    <row r="1064" ht="22.5" customHeight="1">
      <c r="A1064" s="2">
        <v>1063.0</v>
      </c>
      <c r="B1064" s="2" t="s">
        <v>2038</v>
      </c>
      <c r="C1064" s="2" t="s">
        <v>278</v>
      </c>
      <c r="D1064" s="2">
        <v>1038.0</v>
      </c>
      <c r="E1064" s="5">
        <v>46115.0</v>
      </c>
      <c r="F1064" s="2" t="s">
        <v>279</v>
      </c>
      <c r="G1064" s="8">
        <v>595013.0</v>
      </c>
      <c r="H1064" s="8">
        <v>386488.0</v>
      </c>
      <c r="I1064" s="2" t="s">
        <v>2039</v>
      </c>
    </row>
    <row r="1065" ht="22.5" customHeight="1">
      <c r="A1065" s="2">
        <v>1064.0</v>
      </c>
      <c r="B1065" s="2" t="s">
        <v>2038</v>
      </c>
      <c r="C1065" s="2" t="s">
        <v>278</v>
      </c>
      <c r="D1065" s="2">
        <v>1038.0</v>
      </c>
      <c r="E1065" s="5">
        <v>46115.0</v>
      </c>
      <c r="F1065" s="2" t="s">
        <v>279</v>
      </c>
      <c r="G1065" s="8">
        <v>595013.0</v>
      </c>
      <c r="H1065" s="8">
        <v>386488.0</v>
      </c>
      <c r="I1065" s="2" t="s">
        <v>2039</v>
      </c>
    </row>
    <row r="1066" ht="22.5" customHeight="1">
      <c r="A1066" s="2">
        <v>1065.0</v>
      </c>
      <c r="B1066" s="2" t="s">
        <v>2038</v>
      </c>
      <c r="C1066" s="2" t="s">
        <v>270</v>
      </c>
      <c r="D1066" s="2">
        <v>430.0</v>
      </c>
      <c r="E1066" s="5">
        <v>46061.0</v>
      </c>
      <c r="F1066" s="5">
        <v>46059.0</v>
      </c>
      <c r="G1066" s="2">
        <v>3526.0</v>
      </c>
      <c r="H1066" s="7">
        <v>2666.0</v>
      </c>
      <c r="I1066" s="2">
        <v>860.0</v>
      </c>
    </row>
    <row r="1067" ht="22.5" customHeight="1">
      <c r="A1067" s="2">
        <v>1066.0</v>
      </c>
      <c r="B1067" s="2" t="s">
        <v>2040</v>
      </c>
      <c r="C1067" s="2" t="s">
        <v>272</v>
      </c>
      <c r="D1067" s="2">
        <v>4706.0</v>
      </c>
      <c r="E1067" s="5">
        <v>46236.0</v>
      </c>
      <c r="F1067" s="5">
        <v>46144.0</v>
      </c>
      <c r="G1067" s="2" t="s">
        <v>2041</v>
      </c>
      <c r="H1067" s="7">
        <v>11765.0</v>
      </c>
      <c r="I1067" s="8" t="s">
        <v>2042</v>
      </c>
    </row>
    <row r="1068" ht="22.5" customHeight="1">
      <c r="A1068" s="2">
        <v>1067.0</v>
      </c>
      <c r="B1068" s="2" t="s">
        <v>2043</v>
      </c>
      <c r="C1068" s="2" t="s">
        <v>276</v>
      </c>
      <c r="D1068" s="2">
        <v>8623.0</v>
      </c>
      <c r="E1068" s="5">
        <v>46057.0</v>
      </c>
      <c r="F1068" s="5">
        <v>46115.0</v>
      </c>
      <c r="G1068" s="2" t="s">
        <v>2044</v>
      </c>
      <c r="H1068" s="2" t="s">
        <v>2045</v>
      </c>
      <c r="I1068" s="8">
        <v>1825575.0</v>
      </c>
    </row>
    <row r="1069" ht="22.5" customHeight="1">
      <c r="A1069" s="2">
        <v>1068.0</v>
      </c>
      <c r="B1069" s="2" t="s">
        <v>2043</v>
      </c>
      <c r="C1069" s="2" t="s">
        <v>276</v>
      </c>
      <c r="D1069" s="2">
        <v>8623.0</v>
      </c>
      <c r="E1069" s="5">
        <v>46057.0</v>
      </c>
      <c r="F1069" s="5">
        <v>46115.0</v>
      </c>
      <c r="G1069" s="2" t="s">
        <v>2044</v>
      </c>
      <c r="H1069" s="2" t="s">
        <v>2045</v>
      </c>
      <c r="I1069" s="8">
        <v>1825575.0</v>
      </c>
    </row>
    <row r="1070" ht="22.5" customHeight="1">
      <c r="A1070" s="2">
        <v>1069.0</v>
      </c>
      <c r="B1070" s="2" t="s">
        <v>2043</v>
      </c>
      <c r="C1070" s="2" t="s">
        <v>276</v>
      </c>
      <c r="D1070" s="2">
        <v>8622.0</v>
      </c>
      <c r="E1070" s="5">
        <v>46057.0</v>
      </c>
      <c r="F1070" s="5">
        <v>46115.0</v>
      </c>
      <c r="G1070" s="2" t="s">
        <v>2046</v>
      </c>
      <c r="H1070" s="2" t="s">
        <v>2047</v>
      </c>
      <c r="I1070" s="8">
        <v>1825271.0</v>
      </c>
    </row>
    <row r="1071" ht="22.5" customHeight="1">
      <c r="A1071" s="2">
        <v>1070.0</v>
      </c>
      <c r="B1071" s="2" t="s">
        <v>2048</v>
      </c>
      <c r="C1071" s="2" t="s">
        <v>317</v>
      </c>
      <c r="D1071" s="2">
        <v>20829.0</v>
      </c>
      <c r="E1071" s="5">
        <v>46148.0</v>
      </c>
      <c r="F1071" s="5">
        <v>46027.0</v>
      </c>
      <c r="G1071" s="2" t="s">
        <v>2049</v>
      </c>
      <c r="H1071" s="2" t="s">
        <v>2050</v>
      </c>
      <c r="I1071" s="2" t="s">
        <v>2051</v>
      </c>
    </row>
    <row r="1072" ht="22.5" customHeight="1">
      <c r="A1072" s="2">
        <v>1071.0</v>
      </c>
      <c r="B1072" s="2" t="s">
        <v>2052</v>
      </c>
      <c r="C1072" s="2" t="s">
        <v>272</v>
      </c>
      <c r="D1072" s="2">
        <v>2677.0</v>
      </c>
      <c r="E1072" s="5">
        <v>46236.0</v>
      </c>
      <c r="F1072" s="5">
        <v>46144.0</v>
      </c>
      <c r="G1072" s="8">
        <v>2043685.0</v>
      </c>
      <c r="H1072" s="8">
        <v>1750365.0</v>
      </c>
      <c r="I1072" s="2" t="s">
        <v>2053</v>
      </c>
    </row>
    <row r="1073" ht="22.5" customHeight="1">
      <c r="A1073" s="2">
        <v>1072.0</v>
      </c>
      <c r="B1073" s="2" t="s">
        <v>2052</v>
      </c>
      <c r="C1073" s="2" t="s">
        <v>276</v>
      </c>
      <c r="D1073" s="2">
        <v>1785.0</v>
      </c>
      <c r="E1073" s="5">
        <v>46057.0</v>
      </c>
      <c r="F1073" s="5">
        <v>46115.0</v>
      </c>
      <c r="G1073" s="2">
        <v>7497.0</v>
      </c>
      <c r="H1073" s="7">
        <v>6069.0</v>
      </c>
      <c r="I1073" s="2">
        <v>1428.0</v>
      </c>
    </row>
    <row r="1074" ht="22.5" customHeight="1">
      <c r="A1074" s="2">
        <v>1073.0</v>
      </c>
      <c r="B1074" s="2" t="s">
        <v>2054</v>
      </c>
      <c r="C1074" s="2" t="s">
        <v>311</v>
      </c>
      <c r="D1074" s="2">
        <v>1757.0</v>
      </c>
      <c r="E1074" s="5">
        <v>46057.0</v>
      </c>
      <c r="F1074" s="5">
        <v>46084.0</v>
      </c>
      <c r="G1074" s="8">
        <v>2001256.0</v>
      </c>
      <c r="H1074" s="8">
        <v>1423718.0</v>
      </c>
      <c r="I1074" s="8" t="s">
        <v>2055</v>
      </c>
    </row>
    <row r="1075" ht="22.5" customHeight="1">
      <c r="A1075" s="2">
        <v>1074.0</v>
      </c>
      <c r="B1075" s="2" t="s">
        <v>2056</v>
      </c>
      <c r="C1075" s="2" t="s">
        <v>317</v>
      </c>
      <c r="D1075" s="2">
        <v>799.0</v>
      </c>
      <c r="E1075" s="5">
        <v>46148.0</v>
      </c>
      <c r="F1075" s="5">
        <v>46027.0</v>
      </c>
      <c r="G1075" s="8">
        <v>1202866.0</v>
      </c>
      <c r="H1075" s="8">
        <v>794283.0</v>
      </c>
      <c r="I1075" s="8" t="s">
        <v>2057</v>
      </c>
    </row>
    <row r="1076" ht="22.5" customHeight="1">
      <c r="A1076" s="2">
        <v>1075.0</v>
      </c>
      <c r="B1076" s="2" t="s">
        <v>2056</v>
      </c>
      <c r="C1076" s="2" t="s">
        <v>317</v>
      </c>
      <c r="D1076" s="2">
        <v>798.0</v>
      </c>
      <c r="E1076" s="5">
        <v>46148.0</v>
      </c>
      <c r="F1076" s="5">
        <v>46027.0</v>
      </c>
      <c r="G1076" s="2">
        <v>5187.0</v>
      </c>
      <c r="H1076" s="8">
        <v>792426.0</v>
      </c>
      <c r="I1076" s="8" t="s">
        <v>2058</v>
      </c>
    </row>
    <row r="1077" ht="22.5" customHeight="1">
      <c r="A1077" s="2">
        <v>1076.0</v>
      </c>
      <c r="B1077" s="2" t="s">
        <v>2056</v>
      </c>
      <c r="C1077" s="2" t="s">
        <v>272</v>
      </c>
      <c r="D1077" s="2">
        <v>1854.0</v>
      </c>
      <c r="E1077" s="5">
        <v>46236.0</v>
      </c>
      <c r="F1077" s="5">
        <v>46144.0</v>
      </c>
      <c r="G1077" s="8">
        <v>1202046.0</v>
      </c>
      <c r="H1077" s="7">
        <v>4635.0</v>
      </c>
      <c r="I1077" s="2" t="s">
        <v>2059</v>
      </c>
    </row>
    <row r="1078" ht="22.5" customHeight="1">
      <c r="A1078" s="2">
        <v>1077.0</v>
      </c>
      <c r="B1078" s="2" t="s">
        <v>2060</v>
      </c>
      <c r="C1078" s="2" t="s">
        <v>272</v>
      </c>
      <c r="D1078" s="2">
        <v>3924.0</v>
      </c>
      <c r="E1078" s="5">
        <v>46236.0</v>
      </c>
      <c r="F1078" s="5">
        <v>46144.0</v>
      </c>
      <c r="G1078" s="2" t="s">
        <v>2061</v>
      </c>
      <c r="H1078" s="7">
        <v>9810.0</v>
      </c>
      <c r="I1078" s="8" t="s">
        <v>2062</v>
      </c>
    </row>
    <row r="1079" ht="22.5" customHeight="1">
      <c r="A1079" s="2">
        <v>1078.0</v>
      </c>
      <c r="B1079" s="2" t="s">
        <v>2063</v>
      </c>
      <c r="C1079" s="2" t="s">
        <v>278</v>
      </c>
      <c r="D1079" s="2">
        <v>14852.0</v>
      </c>
      <c r="E1079" s="5">
        <v>46115.0</v>
      </c>
      <c r="F1079" s="2" t="s">
        <v>279</v>
      </c>
      <c r="G1079" s="2" t="s">
        <v>2064</v>
      </c>
      <c r="H1079" s="2" t="s">
        <v>2065</v>
      </c>
      <c r="I1079" s="8">
        <v>2289494.0</v>
      </c>
    </row>
    <row r="1080" ht="22.5" customHeight="1">
      <c r="A1080" s="2">
        <v>1079.0</v>
      </c>
      <c r="B1080" s="2" t="s">
        <v>2063</v>
      </c>
      <c r="C1080" s="2" t="s">
        <v>278</v>
      </c>
      <c r="D1080" s="2">
        <v>14852.0</v>
      </c>
      <c r="E1080" s="5">
        <v>46115.0</v>
      </c>
      <c r="F1080" s="2" t="s">
        <v>279</v>
      </c>
      <c r="G1080" s="2" t="s">
        <v>2064</v>
      </c>
      <c r="H1080" s="2" t="s">
        <v>2065</v>
      </c>
      <c r="I1080" s="8">
        <v>2289494.0</v>
      </c>
    </row>
    <row r="1081" ht="22.5" customHeight="1">
      <c r="A1081" s="2">
        <v>1080.0</v>
      </c>
      <c r="B1081" s="2" t="s">
        <v>2066</v>
      </c>
      <c r="C1081" s="2" t="s">
        <v>276</v>
      </c>
      <c r="D1081" s="2">
        <v>774.0</v>
      </c>
      <c r="E1081" s="5">
        <v>46057.0</v>
      </c>
      <c r="F1081" s="5">
        <v>46115.0</v>
      </c>
      <c r="G1081" s="8">
        <v>493292.0</v>
      </c>
      <c r="H1081" s="8">
        <v>267145.0</v>
      </c>
      <c r="I1081" s="2" t="s">
        <v>312</v>
      </c>
    </row>
    <row r="1082" ht="22.5" customHeight="1">
      <c r="A1082" s="2">
        <v>1081.0</v>
      </c>
      <c r="B1082" s="2" t="s">
        <v>2067</v>
      </c>
      <c r="C1082" s="2" t="s">
        <v>278</v>
      </c>
      <c r="D1082" s="2">
        <v>1706.0</v>
      </c>
      <c r="E1082" s="5">
        <v>46115.0</v>
      </c>
      <c r="F1082" s="2" t="s">
        <v>279</v>
      </c>
      <c r="G1082" s="8">
        <v>1424538.0</v>
      </c>
      <c r="H1082" s="8">
        <v>1081851.0</v>
      </c>
      <c r="I1082" s="2" t="s">
        <v>2068</v>
      </c>
    </row>
    <row r="1083" ht="22.5" customHeight="1">
      <c r="A1083" s="2">
        <v>1082.0</v>
      </c>
      <c r="B1083" s="2" t="s">
        <v>2069</v>
      </c>
      <c r="C1083" s="2" t="s">
        <v>287</v>
      </c>
      <c r="D1083" s="2">
        <v>656.0</v>
      </c>
      <c r="E1083" s="5">
        <v>46152.0</v>
      </c>
      <c r="F1083" s="5">
        <v>46241.0</v>
      </c>
      <c r="G1083" s="2">
        <v>6888.0</v>
      </c>
      <c r="H1083" s="8">
        <v>1174834.0</v>
      </c>
      <c r="I1083" s="8" t="s">
        <v>2070</v>
      </c>
    </row>
    <row r="1084" ht="22.5" customHeight="1">
      <c r="A1084" s="2">
        <v>1083.0</v>
      </c>
      <c r="B1084" s="2" t="s">
        <v>2069</v>
      </c>
      <c r="C1084" s="2" t="s">
        <v>311</v>
      </c>
      <c r="D1084" s="2">
        <v>1639.0</v>
      </c>
      <c r="E1084" s="5">
        <v>46057.0</v>
      </c>
      <c r="F1084" s="5">
        <v>46084.0</v>
      </c>
      <c r="G1084" s="8">
        <v>1820218.0</v>
      </c>
      <c r="H1084" s="8">
        <v>1281454.0</v>
      </c>
      <c r="I1084" s="8" t="s">
        <v>2071</v>
      </c>
    </row>
    <row r="1085" ht="22.5" customHeight="1">
      <c r="A1085" s="2">
        <v>1084.0</v>
      </c>
      <c r="B1085" s="2" t="s">
        <v>2072</v>
      </c>
      <c r="C1085" s="2" t="s">
        <v>276</v>
      </c>
      <c r="D1085" s="2">
        <v>724.0</v>
      </c>
      <c r="E1085" s="5">
        <v>46057.0</v>
      </c>
      <c r="F1085" s="5">
        <v>46115.0</v>
      </c>
      <c r="G1085" s="8">
        <v>416591.0</v>
      </c>
      <c r="H1085" s="8">
        <v>205055.0</v>
      </c>
      <c r="I1085" s="2" t="s">
        <v>2073</v>
      </c>
    </row>
    <row r="1086" ht="22.5" customHeight="1">
      <c r="A1086" s="2">
        <v>1085.0</v>
      </c>
      <c r="B1086" s="2" t="s">
        <v>2074</v>
      </c>
      <c r="C1086" s="2" t="s">
        <v>276</v>
      </c>
      <c r="D1086" s="2">
        <v>1328.0</v>
      </c>
      <c r="E1086" s="5">
        <v>46057.0</v>
      </c>
      <c r="F1086" s="5">
        <v>46115.0</v>
      </c>
      <c r="G1086" s="8">
        <v>1343150.0</v>
      </c>
      <c r="H1086" s="8">
        <v>955142.0</v>
      </c>
      <c r="I1086" s="8" t="s">
        <v>2075</v>
      </c>
    </row>
    <row r="1087" ht="22.5" customHeight="1">
      <c r="A1087" s="2">
        <v>1086.0</v>
      </c>
      <c r="B1087" s="2" t="s">
        <v>2074</v>
      </c>
      <c r="C1087" s="2" t="s">
        <v>317</v>
      </c>
      <c r="D1087" s="2">
        <v>858.0</v>
      </c>
      <c r="E1087" s="5">
        <v>46148.0</v>
      </c>
      <c r="F1087" s="5">
        <v>46027.0</v>
      </c>
      <c r="G1087" s="2">
        <v>5577.0</v>
      </c>
      <c r="H1087" s="8">
        <v>904189.0</v>
      </c>
      <c r="I1087" s="8" t="s">
        <v>2076</v>
      </c>
    </row>
    <row r="1088" ht="22.5" customHeight="1">
      <c r="A1088" s="2">
        <v>1087.0</v>
      </c>
      <c r="B1088" s="2" t="s">
        <v>2077</v>
      </c>
      <c r="C1088" s="2" t="s">
        <v>317</v>
      </c>
      <c r="D1088" s="2">
        <v>256.0</v>
      </c>
      <c r="E1088" s="5">
        <v>46148.0</v>
      </c>
      <c r="F1088" s="5">
        <v>46027.0</v>
      </c>
      <c r="G1088" s="2">
        <v>1664.0</v>
      </c>
      <c r="H1088" s="8" t="s">
        <v>2078</v>
      </c>
      <c r="I1088" s="2" t="s">
        <v>2079</v>
      </c>
    </row>
    <row r="1089" ht="22.5" customHeight="1">
      <c r="A1089" s="2">
        <v>1088.0</v>
      </c>
      <c r="B1089" s="2" t="s">
        <v>2080</v>
      </c>
      <c r="C1089" s="2" t="s">
        <v>269</v>
      </c>
      <c r="D1089" s="2">
        <v>297.0</v>
      </c>
      <c r="E1089" s="5">
        <v>46058.0</v>
      </c>
      <c r="F1089" s="6">
        <v>46146.0</v>
      </c>
      <c r="G1089" s="8" t="s">
        <v>2081</v>
      </c>
      <c r="H1089" s="2" t="s">
        <v>2082</v>
      </c>
      <c r="I1089" s="2" t="s">
        <v>2083</v>
      </c>
    </row>
    <row r="1090" ht="22.5" customHeight="1">
      <c r="A1090" s="2">
        <v>1089.0</v>
      </c>
      <c r="B1090" s="2" t="s">
        <v>2080</v>
      </c>
      <c r="C1090" s="2" t="s">
        <v>278</v>
      </c>
      <c r="D1090" s="2">
        <v>453.0</v>
      </c>
      <c r="E1090" s="5">
        <v>46115.0</v>
      </c>
      <c r="F1090" s="2" t="s">
        <v>279</v>
      </c>
      <c r="G1090" s="8" t="s">
        <v>2084</v>
      </c>
      <c r="H1090" s="9" t="s">
        <v>2085</v>
      </c>
      <c r="I1090" s="2" t="s">
        <v>2086</v>
      </c>
    </row>
    <row r="1091" ht="22.5" customHeight="1">
      <c r="A1091" s="2">
        <v>1090.0</v>
      </c>
      <c r="B1091" s="2" t="s">
        <v>2080</v>
      </c>
      <c r="C1091" s="2" t="s">
        <v>278</v>
      </c>
      <c r="D1091" s="2">
        <v>454.0</v>
      </c>
      <c r="E1091" s="5">
        <v>46115.0</v>
      </c>
      <c r="F1091" s="2" t="s">
        <v>279</v>
      </c>
      <c r="G1091" s="8" t="s">
        <v>2087</v>
      </c>
      <c r="H1091" s="8" t="s">
        <v>2088</v>
      </c>
      <c r="I1091" s="2" t="s">
        <v>2089</v>
      </c>
    </row>
    <row r="1092" ht="22.5" customHeight="1">
      <c r="A1092" s="2">
        <v>1091.0</v>
      </c>
      <c r="B1092" s="2" t="s">
        <v>2090</v>
      </c>
      <c r="C1092" s="2" t="s">
        <v>272</v>
      </c>
      <c r="D1092" s="2">
        <v>353.0</v>
      </c>
      <c r="E1092" s="5">
        <v>46236.0</v>
      </c>
      <c r="F1092" s="5">
        <v>46144.0</v>
      </c>
      <c r="G1092" s="2" t="s">
        <v>956</v>
      </c>
      <c r="H1092" s="2" t="s">
        <v>957</v>
      </c>
      <c r="I1092" s="2" t="s">
        <v>958</v>
      </c>
    </row>
    <row r="1093" ht="22.5" customHeight="1">
      <c r="A1093" s="2">
        <v>1092.0</v>
      </c>
      <c r="B1093" s="2" t="s">
        <v>2090</v>
      </c>
      <c r="C1093" s="2" t="s">
        <v>276</v>
      </c>
      <c r="D1093" s="2">
        <v>236.0</v>
      </c>
      <c r="E1093" s="5">
        <v>46057.0</v>
      </c>
      <c r="F1093" s="5">
        <v>46115.0</v>
      </c>
      <c r="G1093" s="2" t="s">
        <v>961</v>
      </c>
      <c r="H1093" s="2" t="s">
        <v>2091</v>
      </c>
      <c r="I1093" s="2" t="s">
        <v>2092</v>
      </c>
    </row>
    <row r="1094" ht="22.5" customHeight="1">
      <c r="A1094" s="2">
        <v>1093.0</v>
      </c>
      <c r="B1094" s="2" t="s">
        <v>2090</v>
      </c>
      <c r="C1094" s="2" t="s">
        <v>276</v>
      </c>
      <c r="D1094" s="2">
        <v>235.0</v>
      </c>
      <c r="E1094" s="5">
        <v>46057.0</v>
      </c>
      <c r="F1094" s="5">
        <v>46115.0</v>
      </c>
      <c r="G1094" s="2">
        <v>987.0</v>
      </c>
      <c r="H1094" s="7">
        <v>799.0</v>
      </c>
      <c r="I1094" s="2">
        <v>188.0</v>
      </c>
    </row>
    <row r="1095" ht="22.5" customHeight="1">
      <c r="A1095" s="2">
        <v>1094.0</v>
      </c>
      <c r="B1095" s="2" t="s">
        <v>2093</v>
      </c>
      <c r="C1095" s="2" t="s">
        <v>272</v>
      </c>
      <c r="D1095" s="2">
        <v>720.0</v>
      </c>
      <c r="E1095" s="5">
        <v>46236.0</v>
      </c>
      <c r="F1095" s="5">
        <v>46144.0</v>
      </c>
      <c r="G1095" s="2">
        <v>2016.0</v>
      </c>
      <c r="H1095" s="7">
        <v>1800.0</v>
      </c>
      <c r="I1095" s="2">
        <v>216.0</v>
      </c>
    </row>
    <row r="1096" ht="22.5" customHeight="1">
      <c r="A1096" s="2">
        <v>1095.0</v>
      </c>
      <c r="B1096" s="2" t="s">
        <v>2093</v>
      </c>
      <c r="C1096" s="2" t="s">
        <v>272</v>
      </c>
      <c r="D1096" s="2">
        <v>721.0</v>
      </c>
      <c r="E1096" s="5">
        <v>46236.0</v>
      </c>
      <c r="F1096" s="5">
        <v>46144.0</v>
      </c>
      <c r="G1096" s="8">
        <v>43313.0</v>
      </c>
      <c r="H1096" s="8" t="s">
        <v>2094</v>
      </c>
      <c r="I1096" s="2" t="s">
        <v>2095</v>
      </c>
    </row>
    <row r="1097" ht="22.5" customHeight="1">
      <c r="A1097" s="2">
        <v>1096.0</v>
      </c>
      <c r="B1097" s="2" t="s">
        <v>2096</v>
      </c>
      <c r="C1097" s="2" t="s">
        <v>278</v>
      </c>
      <c r="D1097" s="2">
        <v>10320.0</v>
      </c>
      <c r="E1097" s="5">
        <v>46115.0</v>
      </c>
      <c r="F1097" s="2" t="s">
        <v>279</v>
      </c>
      <c r="G1097" s="2">
        <v>35088.0</v>
      </c>
      <c r="H1097" s="7">
        <v>29412.0</v>
      </c>
      <c r="I1097" s="2">
        <v>5676.0</v>
      </c>
    </row>
    <row r="1098" ht="22.5" customHeight="1">
      <c r="A1098" s="2">
        <v>1097.0</v>
      </c>
      <c r="B1098" s="2" t="s">
        <v>2096</v>
      </c>
      <c r="C1098" s="2" t="s">
        <v>278</v>
      </c>
      <c r="D1098" s="2">
        <v>10320.0</v>
      </c>
      <c r="E1098" s="5">
        <v>46115.0</v>
      </c>
      <c r="F1098" s="2" t="s">
        <v>279</v>
      </c>
      <c r="G1098" s="2">
        <v>35088.0</v>
      </c>
      <c r="H1098" s="7">
        <v>29412.0</v>
      </c>
      <c r="I1098" s="2">
        <v>5676.0</v>
      </c>
    </row>
    <row r="1099" ht="22.5" customHeight="1">
      <c r="A1099" s="2">
        <v>1098.0</v>
      </c>
      <c r="B1099" s="2" t="s">
        <v>2096</v>
      </c>
      <c r="C1099" s="2" t="s">
        <v>269</v>
      </c>
      <c r="D1099" s="2">
        <v>6748.0</v>
      </c>
      <c r="E1099" s="5">
        <v>46058.0</v>
      </c>
      <c r="F1099" s="6">
        <v>46146.0</v>
      </c>
      <c r="G1099" s="2" t="s">
        <v>2097</v>
      </c>
      <c r="H1099" s="2" t="s">
        <v>2098</v>
      </c>
      <c r="I1099" s="8">
        <v>2140354.0</v>
      </c>
    </row>
    <row r="1100" ht="22.5" customHeight="1">
      <c r="A1100" s="2">
        <v>1099.0</v>
      </c>
      <c r="B1100" s="2" t="s">
        <v>2099</v>
      </c>
      <c r="C1100" s="2" t="s">
        <v>317</v>
      </c>
      <c r="D1100" s="2">
        <v>156.0</v>
      </c>
      <c r="E1100" s="5">
        <v>46148.0</v>
      </c>
      <c r="F1100" s="5">
        <v>46027.0</v>
      </c>
      <c r="G1100" s="2">
        <v>1014.0</v>
      </c>
      <c r="H1100" s="2" t="s">
        <v>940</v>
      </c>
      <c r="I1100" s="2" t="s">
        <v>941</v>
      </c>
    </row>
    <row r="1101" ht="22.5" customHeight="1">
      <c r="A1101" s="2">
        <v>1100.0</v>
      </c>
      <c r="B1101" s="2" t="s">
        <v>2099</v>
      </c>
      <c r="C1101" s="2" t="s">
        <v>272</v>
      </c>
      <c r="D1101" s="2">
        <v>361.0</v>
      </c>
      <c r="E1101" s="5">
        <v>46236.0</v>
      </c>
      <c r="F1101" s="5">
        <v>46144.0</v>
      </c>
      <c r="G1101" s="8" t="s">
        <v>2100</v>
      </c>
      <c r="H1101" s="2" t="s">
        <v>2101</v>
      </c>
      <c r="I1101" s="2" t="s">
        <v>2102</v>
      </c>
    </row>
    <row r="1102" ht="22.5" customHeight="1">
      <c r="A1102" s="2">
        <v>1101.0</v>
      </c>
      <c r="B1102" s="2" t="s">
        <v>2103</v>
      </c>
      <c r="C1102" s="2" t="s">
        <v>272</v>
      </c>
      <c r="D1102" s="2">
        <v>1404.0</v>
      </c>
      <c r="E1102" s="5">
        <v>46236.0</v>
      </c>
      <c r="F1102" s="5">
        <v>46144.0</v>
      </c>
      <c r="G1102" s="8">
        <v>741840.0</v>
      </c>
      <c r="H1102" s="7">
        <v>3510.0</v>
      </c>
      <c r="I1102" s="2" t="s">
        <v>2104</v>
      </c>
    </row>
    <row r="1103" ht="22.5" customHeight="1">
      <c r="A1103" s="2">
        <v>1102.0</v>
      </c>
      <c r="B1103" s="2" t="s">
        <v>2103</v>
      </c>
      <c r="C1103" s="2" t="s">
        <v>272</v>
      </c>
      <c r="D1103" s="2">
        <v>1404.0</v>
      </c>
      <c r="E1103" s="5">
        <v>46236.0</v>
      </c>
      <c r="F1103" s="5">
        <v>46144.0</v>
      </c>
      <c r="G1103" s="8">
        <v>741840.0</v>
      </c>
      <c r="H1103" s="7">
        <v>3510.0</v>
      </c>
      <c r="I1103" s="2" t="s">
        <v>2104</v>
      </c>
    </row>
    <row r="1104" ht="22.5" customHeight="1">
      <c r="A1104" s="2">
        <v>1103.0</v>
      </c>
      <c r="B1104" s="2" t="s">
        <v>2105</v>
      </c>
      <c r="C1104" s="2" t="s">
        <v>276</v>
      </c>
      <c r="D1104" s="2">
        <v>2245.0</v>
      </c>
      <c r="E1104" s="5">
        <v>46057.0</v>
      </c>
      <c r="F1104" s="5">
        <v>46115.0</v>
      </c>
      <c r="G1104" s="2">
        <v>9429.0</v>
      </c>
      <c r="H1104" s="7">
        <v>7633.0</v>
      </c>
      <c r="I1104" s="2">
        <v>1796.0</v>
      </c>
    </row>
    <row r="1105" ht="22.5" customHeight="1">
      <c r="A1105" s="2">
        <v>1104.0</v>
      </c>
      <c r="B1105" s="2" t="s">
        <v>2106</v>
      </c>
      <c r="C1105" s="2" t="s">
        <v>272</v>
      </c>
      <c r="D1105" s="2">
        <v>2710.0</v>
      </c>
      <c r="E1105" s="5">
        <v>46236.0</v>
      </c>
      <c r="F1105" s="5">
        <v>46144.0</v>
      </c>
      <c r="G1105" s="2">
        <v>7588.0</v>
      </c>
      <c r="H1105" s="7">
        <v>6775.0</v>
      </c>
      <c r="I1105" s="2">
        <v>813.0</v>
      </c>
    </row>
    <row r="1106" ht="22.5" customHeight="1">
      <c r="A1106" s="2">
        <v>1105.0</v>
      </c>
      <c r="B1106" s="2" t="s">
        <v>2106</v>
      </c>
      <c r="C1106" s="2" t="s">
        <v>272</v>
      </c>
      <c r="D1106" s="2">
        <v>2709.0</v>
      </c>
      <c r="E1106" s="5">
        <v>46236.0</v>
      </c>
      <c r="F1106" s="5">
        <v>46144.0</v>
      </c>
      <c r="G1106" s="8">
        <v>2076437.0</v>
      </c>
      <c r="H1106" s="8">
        <v>1779584.0</v>
      </c>
      <c r="I1106" s="2" t="s">
        <v>1048</v>
      </c>
    </row>
    <row r="1107" ht="22.5" customHeight="1">
      <c r="A1107" s="2">
        <v>1106.0</v>
      </c>
      <c r="B1107" s="2" t="s">
        <v>2107</v>
      </c>
      <c r="C1107" s="2" t="s">
        <v>276</v>
      </c>
      <c r="D1107" s="2">
        <v>1187.0</v>
      </c>
      <c r="E1107" s="5">
        <v>46057.0</v>
      </c>
      <c r="F1107" s="5">
        <v>46115.0</v>
      </c>
      <c r="G1107" s="8">
        <v>1126866.0</v>
      </c>
      <c r="H1107" s="8">
        <v>780007.0</v>
      </c>
      <c r="I1107" s="2" t="s">
        <v>2108</v>
      </c>
    </row>
    <row r="1108" ht="22.5" customHeight="1">
      <c r="A1108" s="2">
        <v>1107.0</v>
      </c>
      <c r="B1108" s="2" t="s">
        <v>2107</v>
      </c>
      <c r="C1108" s="2" t="s">
        <v>272</v>
      </c>
      <c r="D1108" s="2">
        <v>1780.0</v>
      </c>
      <c r="E1108" s="5">
        <v>46236.0</v>
      </c>
      <c r="F1108" s="5">
        <v>46144.0</v>
      </c>
      <c r="G1108" s="2">
        <v>4984.0</v>
      </c>
      <c r="H1108" s="7">
        <v>4450.0</v>
      </c>
      <c r="I1108" s="2">
        <v>534.0</v>
      </c>
    </row>
    <row r="1109" ht="22.5" customHeight="1">
      <c r="A1109" s="2">
        <v>1108.0</v>
      </c>
      <c r="B1109" s="2" t="s">
        <v>2107</v>
      </c>
      <c r="C1109" s="2" t="s">
        <v>276</v>
      </c>
      <c r="D1109" s="2">
        <v>1186.0</v>
      </c>
      <c r="E1109" s="5">
        <v>46057.0</v>
      </c>
      <c r="F1109" s="5">
        <v>46115.0</v>
      </c>
      <c r="G1109" s="8">
        <v>1125346.0</v>
      </c>
      <c r="H1109" s="8">
        <v>778790.0</v>
      </c>
      <c r="I1109" s="2" t="s">
        <v>2109</v>
      </c>
    </row>
    <row r="1110" ht="22.5" customHeight="1">
      <c r="A1110" s="2">
        <v>1109.0</v>
      </c>
      <c r="B1110" s="2" t="s">
        <v>2110</v>
      </c>
      <c r="C1110" s="2" t="s">
        <v>276</v>
      </c>
      <c r="D1110" s="2">
        <v>2747.0</v>
      </c>
      <c r="E1110" s="5">
        <v>46057.0</v>
      </c>
      <c r="F1110" s="5">
        <v>46115.0</v>
      </c>
      <c r="G1110" s="2" t="s">
        <v>2111</v>
      </c>
      <c r="H1110" s="8">
        <v>2717253.0</v>
      </c>
      <c r="I1110" s="8">
        <v>108631.0</v>
      </c>
    </row>
    <row r="1111" ht="22.5" customHeight="1">
      <c r="A1111" s="2">
        <v>1110.0</v>
      </c>
      <c r="B1111" s="2" t="s">
        <v>2112</v>
      </c>
      <c r="C1111" s="2" t="s">
        <v>276</v>
      </c>
      <c r="D1111" s="2">
        <v>4363.0</v>
      </c>
      <c r="E1111" s="5">
        <v>46057.0</v>
      </c>
      <c r="F1111" s="5">
        <v>46115.0</v>
      </c>
      <c r="G1111" s="2" t="s">
        <v>2113</v>
      </c>
      <c r="H1111" s="2" t="s">
        <v>2114</v>
      </c>
      <c r="I1111" s="8">
        <v>580828.0</v>
      </c>
    </row>
    <row r="1112" ht="22.5" customHeight="1">
      <c r="A1112" s="2">
        <v>1111.0</v>
      </c>
      <c r="B1112" s="2" t="s">
        <v>2115</v>
      </c>
      <c r="C1112" s="2" t="s">
        <v>272</v>
      </c>
      <c r="D1112" s="2">
        <v>9127.0</v>
      </c>
      <c r="E1112" s="5">
        <v>46236.0</v>
      </c>
      <c r="F1112" s="5">
        <v>46144.0</v>
      </c>
      <c r="G1112" s="2" t="s">
        <v>2116</v>
      </c>
      <c r="H1112" s="2" t="s">
        <v>2117</v>
      </c>
      <c r="I1112" s="8">
        <v>306075.0</v>
      </c>
    </row>
    <row r="1113" ht="22.5" customHeight="1">
      <c r="A1113" s="2">
        <v>1112.0</v>
      </c>
      <c r="B1113" s="2" t="s">
        <v>2115</v>
      </c>
      <c r="C1113" s="2" t="s">
        <v>272</v>
      </c>
      <c r="D1113" s="2">
        <v>9127.0</v>
      </c>
      <c r="E1113" s="5">
        <v>46236.0</v>
      </c>
      <c r="F1113" s="5">
        <v>46144.0</v>
      </c>
      <c r="G1113" s="2" t="s">
        <v>2116</v>
      </c>
      <c r="H1113" s="2" t="s">
        <v>2117</v>
      </c>
      <c r="I1113" s="8">
        <v>306075.0</v>
      </c>
    </row>
    <row r="1114" ht="22.5" customHeight="1">
      <c r="A1114" s="2">
        <v>1113.0</v>
      </c>
      <c r="B1114" s="2" t="s">
        <v>2118</v>
      </c>
      <c r="C1114" s="2" t="s">
        <v>270</v>
      </c>
      <c r="D1114" s="2">
        <v>1367.0</v>
      </c>
      <c r="E1114" s="5">
        <v>46061.0</v>
      </c>
      <c r="F1114" s="5">
        <v>46059.0</v>
      </c>
      <c r="G1114" s="2" t="s">
        <v>2119</v>
      </c>
      <c r="H1114" s="8">
        <v>2401562.0</v>
      </c>
      <c r="I1114" s="2">
        <v>2734.0</v>
      </c>
    </row>
    <row r="1115" ht="22.5" customHeight="1">
      <c r="A1115" s="2">
        <v>1114.0</v>
      </c>
      <c r="B1115" s="2" t="s">
        <v>2118</v>
      </c>
      <c r="C1115" s="2" t="s">
        <v>278</v>
      </c>
      <c r="D1115" s="2">
        <v>3298.0</v>
      </c>
      <c r="E1115" s="5">
        <v>46115.0</v>
      </c>
      <c r="F1115" s="2" t="s">
        <v>279</v>
      </c>
      <c r="G1115" s="2" t="s">
        <v>2120</v>
      </c>
      <c r="H1115" s="8">
        <v>2739015.0</v>
      </c>
      <c r="I1115" s="8" t="s">
        <v>2121</v>
      </c>
    </row>
    <row r="1116" ht="22.5" customHeight="1">
      <c r="A1116" s="2">
        <v>1115.0</v>
      </c>
      <c r="B1116" s="2" t="s">
        <v>2118</v>
      </c>
      <c r="C1116" s="2" t="s">
        <v>278</v>
      </c>
      <c r="D1116" s="2">
        <v>3297.0</v>
      </c>
      <c r="E1116" s="5">
        <v>46115.0</v>
      </c>
      <c r="F1116" s="2" t="s">
        <v>279</v>
      </c>
      <c r="G1116" s="2" t="s">
        <v>2122</v>
      </c>
      <c r="H1116" s="2" t="s">
        <v>2123</v>
      </c>
      <c r="I1116" s="2" t="s">
        <v>2124</v>
      </c>
    </row>
    <row r="1117" ht="22.5" customHeight="1">
      <c r="A1117" s="2">
        <v>1116.0</v>
      </c>
      <c r="B1117" s="2" t="s">
        <v>2125</v>
      </c>
      <c r="C1117" s="2" t="s">
        <v>272</v>
      </c>
      <c r="D1117" s="2">
        <v>2302.0</v>
      </c>
      <c r="E1117" s="5">
        <v>46236.0</v>
      </c>
      <c r="F1117" s="5">
        <v>46144.0</v>
      </c>
      <c r="G1117" s="8">
        <v>1660181.0</v>
      </c>
      <c r="H1117" s="7">
        <v>5755.0</v>
      </c>
      <c r="I1117" s="2" t="s">
        <v>2126</v>
      </c>
    </row>
    <row r="1118" ht="22.5" customHeight="1">
      <c r="A1118" s="2">
        <v>1117.0</v>
      </c>
      <c r="B1118" s="2" t="s">
        <v>2125</v>
      </c>
      <c r="C1118" s="2" t="s">
        <v>317</v>
      </c>
      <c r="D1118" s="2">
        <v>992.0</v>
      </c>
      <c r="E1118" s="5">
        <v>46148.0</v>
      </c>
      <c r="F1118" s="5">
        <v>46027.0</v>
      </c>
      <c r="G1118" s="2">
        <v>6448.0</v>
      </c>
      <c r="H1118" s="8">
        <v>1153834.0</v>
      </c>
      <c r="I1118" s="8" t="s">
        <v>566</v>
      </c>
    </row>
    <row r="1119" ht="22.5" customHeight="1">
      <c r="A1119" s="2">
        <v>1118.0</v>
      </c>
      <c r="B1119" s="2" t="s">
        <v>2125</v>
      </c>
      <c r="C1119" s="2" t="s">
        <v>272</v>
      </c>
      <c r="D1119" s="2">
        <v>2301.0</v>
      </c>
      <c r="E1119" s="5">
        <v>46236.0</v>
      </c>
      <c r="F1119" s="5">
        <v>46144.0</v>
      </c>
      <c r="G1119" s="8">
        <v>1659146.0</v>
      </c>
      <c r="H1119" s="8">
        <v>1407037.0</v>
      </c>
      <c r="I1119" s="2" t="s">
        <v>2127</v>
      </c>
    </row>
    <row r="1120" ht="22.5" customHeight="1">
      <c r="A1120" s="2">
        <v>1119.0</v>
      </c>
      <c r="B1120" s="2" t="s">
        <v>2128</v>
      </c>
      <c r="C1120" s="2" t="s">
        <v>272</v>
      </c>
      <c r="D1120" s="2">
        <v>1410.0</v>
      </c>
      <c r="E1120" s="5">
        <v>46236.0</v>
      </c>
      <c r="F1120" s="5">
        <v>46144.0</v>
      </c>
      <c r="G1120" s="2">
        <v>3948.0</v>
      </c>
      <c r="H1120" s="7">
        <v>3525.0</v>
      </c>
      <c r="I1120" s="2">
        <v>423.0</v>
      </c>
    </row>
    <row r="1121" ht="22.5" customHeight="1">
      <c r="A1121" s="2">
        <v>1120.0</v>
      </c>
      <c r="B1121" s="2" t="s">
        <v>2128</v>
      </c>
      <c r="C1121" s="2" t="s">
        <v>272</v>
      </c>
      <c r="D1121" s="2">
        <v>1411.0</v>
      </c>
      <c r="E1121" s="5">
        <v>46236.0</v>
      </c>
      <c r="F1121" s="5">
        <v>46144.0</v>
      </c>
      <c r="G1121" s="8">
        <v>748961.0</v>
      </c>
      <c r="H1121" s="8">
        <v>594371.0</v>
      </c>
      <c r="I1121" s="2" t="s">
        <v>2129</v>
      </c>
    </row>
    <row r="1122" ht="22.5" customHeight="1">
      <c r="A1122" s="2">
        <v>1121.0</v>
      </c>
      <c r="B1122" s="2" t="s">
        <v>2128</v>
      </c>
      <c r="C1122" s="2" t="s">
        <v>276</v>
      </c>
      <c r="D1122" s="2">
        <v>940.0</v>
      </c>
      <c r="E1122" s="5">
        <v>46057.0</v>
      </c>
      <c r="F1122" s="5">
        <v>46115.0</v>
      </c>
      <c r="G1122" s="2">
        <v>3948.0</v>
      </c>
      <c r="H1122" s="7">
        <v>3196.0</v>
      </c>
      <c r="I1122" s="2">
        <v>752.0</v>
      </c>
    </row>
    <row r="1123" ht="22.5" customHeight="1">
      <c r="A1123" s="2">
        <v>1122.0</v>
      </c>
      <c r="B1123" s="2" t="s">
        <v>2130</v>
      </c>
      <c r="C1123" s="2" t="s">
        <v>276</v>
      </c>
      <c r="D1123" s="2">
        <v>2426.0</v>
      </c>
      <c r="E1123" s="5">
        <v>46057.0</v>
      </c>
      <c r="F1123" s="5">
        <v>46115.0</v>
      </c>
      <c r="G1123" s="2" t="s">
        <v>2131</v>
      </c>
      <c r="H1123" s="8">
        <v>2318652.0</v>
      </c>
      <c r="I1123" s="8">
        <v>14824.0</v>
      </c>
    </row>
    <row r="1124" ht="22.5" customHeight="1">
      <c r="A1124" s="2">
        <v>1123.0</v>
      </c>
      <c r="B1124" s="2" t="s">
        <v>2132</v>
      </c>
      <c r="C1124" s="2" t="s">
        <v>272</v>
      </c>
      <c r="D1124" s="2">
        <v>6444.0</v>
      </c>
      <c r="E1124" s="5">
        <v>46236.0</v>
      </c>
      <c r="F1124" s="5">
        <v>46144.0</v>
      </c>
      <c r="G1124" s="2" t="s">
        <v>2133</v>
      </c>
      <c r="H1124" s="7">
        <v>16110.0</v>
      </c>
      <c r="I1124" s="8">
        <v>12086.0</v>
      </c>
    </row>
    <row r="1125" ht="22.5" customHeight="1">
      <c r="A1125" s="2">
        <v>1124.0</v>
      </c>
      <c r="B1125" s="2" t="s">
        <v>2132</v>
      </c>
      <c r="C1125" s="2" t="s">
        <v>276</v>
      </c>
      <c r="D1125" s="2">
        <v>4296.0</v>
      </c>
      <c r="E1125" s="5">
        <v>46057.0</v>
      </c>
      <c r="F1125" s="5">
        <v>46115.0</v>
      </c>
      <c r="G1125" s="2" t="s">
        <v>2133</v>
      </c>
      <c r="H1125" s="2" t="s">
        <v>2134</v>
      </c>
      <c r="I1125" s="8">
        <v>561227.0</v>
      </c>
    </row>
    <row r="1126" ht="22.5" customHeight="1">
      <c r="A1126" s="2">
        <v>1125.0</v>
      </c>
      <c r="B1126" s="2" t="s">
        <v>2135</v>
      </c>
      <c r="C1126" s="2" t="s">
        <v>272</v>
      </c>
      <c r="D1126" s="2">
        <v>2766.0</v>
      </c>
      <c r="E1126" s="5">
        <v>46236.0</v>
      </c>
      <c r="F1126" s="5">
        <v>46144.0</v>
      </c>
      <c r="G1126" s="8">
        <v>2134692.0</v>
      </c>
      <c r="H1126" s="7">
        <v>6915.0</v>
      </c>
      <c r="I1126" s="2" t="s">
        <v>2136</v>
      </c>
    </row>
    <row r="1127" ht="22.5" customHeight="1">
      <c r="A1127" s="2">
        <v>1126.0</v>
      </c>
      <c r="B1127" s="2" t="s">
        <v>2135</v>
      </c>
      <c r="C1127" s="2" t="s">
        <v>276</v>
      </c>
      <c r="D1127" s="2">
        <v>1844.0</v>
      </c>
      <c r="E1127" s="5">
        <v>46057.0</v>
      </c>
      <c r="F1127" s="5">
        <v>46115.0</v>
      </c>
      <c r="G1127" s="8">
        <v>2134692.0</v>
      </c>
      <c r="H1127" s="8">
        <v>1595898.0</v>
      </c>
      <c r="I1127" s="8" t="s">
        <v>2137</v>
      </c>
    </row>
    <row r="1128" ht="22.5" customHeight="1">
      <c r="A1128" s="2">
        <v>1127.0</v>
      </c>
      <c r="B1128" s="2" t="s">
        <v>2138</v>
      </c>
      <c r="C1128" s="2" t="s">
        <v>276</v>
      </c>
      <c r="D1128" s="2">
        <v>3344.0</v>
      </c>
      <c r="E1128" s="5">
        <v>46057.0</v>
      </c>
      <c r="F1128" s="5">
        <v>46115.0</v>
      </c>
      <c r="G1128" s="2" t="s">
        <v>2139</v>
      </c>
      <c r="H1128" s="2" t="s">
        <v>2140</v>
      </c>
      <c r="I1128" s="8">
        <v>283096.0</v>
      </c>
    </row>
    <row r="1129" ht="22.5" customHeight="1">
      <c r="A1129" s="2">
        <v>1128.0</v>
      </c>
      <c r="B1129" s="2" t="s">
        <v>2138</v>
      </c>
      <c r="C1129" s="2" t="s">
        <v>276</v>
      </c>
      <c r="D1129" s="2">
        <v>3344.0</v>
      </c>
      <c r="E1129" s="5">
        <v>46057.0</v>
      </c>
      <c r="F1129" s="5">
        <v>46115.0</v>
      </c>
      <c r="G1129" s="2" t="s">
        <v>2139</v>
      </c>
      <c r="H1129" s="2" t="s">
        <v>2140</v>
      </c>
      <c r="I1129" s="8">
        <v>283096.0</v>
      </c>
    </row>
    <row r="1130" ht="22.5" customHeight="1">
      <c r="A1130" s="2">
        <v>1129.0</v>
      </c>
      <c r="B1130" s="2" t="s">
        <v>2141</v>
      </c>
      <c r="C1130" s="2" t="s">
        <v>269</v>
      </c>
      <c r="D1130" s="2">
        <v>44776.0</v>
      </c>
      <c r="E1130" s="5">
        <v>46058.0</v>
      </c>
      <c r="F1130" s="6">
        <v>46146.0</v>
      </c>
      <c r="G1130" s="2" t="s">
        <v>2142</v>
      </c>
      <c r="H1130" s="2" t="s">
        <v>2143</v>
      </c>
      <c r="I1130" s="2" t="s">
        <v>2144</v>
      </c>
    </row>
    <row r="1131" ht="22.5" customHeight="1">
      <c r="A1131" s="2">
        <v>1130.0</v>
      </c>
      <c r="B1131" s="2" t="s">
        <v>2145</v>
      </c>
      <c r="C1131" s="2" t="s">
        <v>272</v>
      </c>
      <c r="D1131" s="2">
        <v>15235.0</v>
      </c>
      <c r="E1131" s="5">
        <v>46236.0</v>
      </c>
      <c r="F1131" s="5">
        <v>46144.0</v>
      </c>
      <c r="G1131" s="2">
        <v>42658.0</v>
      </c>
      <c r="H1131" s="2" t="s">
        <v>2146</v>
      </c>
      <c r="I1131" s="8">
        <v>975320.0</v>
      </c>
    </row>
    <row r="1132" ht="22.5" customHeight="1">
      <c r="A1132" s="2">
        <v>1131.0</v>
      </c>
      <c r="B1132" s="2" t="s">
        <v>2145</v>
      </c>
      <c r="C1132" s="2" t="s">
        <v>317</v>
      </c>
      <c r="D1132" s="2">
        <v>6563.0</v>
      </c>
      <c r="E1132" s="5">
        <v>46148.0</v>
      </c>
      <c r="F1132" s="5">
        <v>46027.0</v>
      </c>
      <c r="G1132" s="2" t="s">
        <v>2147</v>
      </c>
      <c r="H1132" s="2" t="s">
        <v>2148</v>
      </c>
      <c r="I1132" s="8">
        <v>2661920.0</v>
      </c>
    </row>
    <row r="1133" ht="22.5" customHeight="1">
      <c r="A1133" s="2">
        <v>1132.0</v>
      </c>
      <c r="B1133" s="2" t="s">
        <v>2149</v>
      </c>
      <c r="C1133" s="2" t="s">
        <v>278</v>
      </c>
      <c r="D1133" s="2">
        <v>2366.0</v>
      </c>
      <c r="E1133" s="5">
        <v>46115.0</v>
      </c>
      <c r="F1133" s="2" t="s">
        <v>279</v>
      </c>
      <c r="G1133" s="8">
        <v>2244143.0</v>
      </c>
      <c r="H1133" s="8">
        <v>1768871.0</v>
      </c>
      <c r="I1133" s="8" t="s">
        <v>2150</v>
      </c>
    </row>
    <row r="1134" ht="22.5" customHeight="1">
      <c r="A1134" s="2">
        <v>1133.0</v>
      </c>
      <c r="B1134" s="2" t="s">
        <v>2151</v>
      </c>
      <c r="C1134" s="2" t="s">
        <v>317</v>
      </c>
      <c r="D1134" s="2">
        <v>630.0</v>
      </c>
      <c r="E1134" s="5">
        <v>46148.0</v>
      </c>
      <c r="F1134" s="5">
        <v>46027.0</v>
      </c>
      <c r="G1134" s="2">
        <v>4095.0</v>
      </c>
      <c r="H1134" s="7">
        <v>3213.0</v>
      </c>
      <c r="I1134" s="2">
        <v>882.0</v>
      </c>
    </row>
    <row r="1135" ht="22.5" customHeight="1">
      <c r="A1135" s="2">
        <v>1134.0</v>
      </c>
      <c r="B1135" s="2" t="s">
        <v>2152</v>
      </c>
      <c r="C1135" s="2" t="s">
        <v>276</v>
      </c>
      <c r="D1135" s="2">
        <v>2801.0</v>
      </c>
      <c r="E1135" s="5">
        <v>46057.0</v>
      </c>
      <c r="F1135" s="5">
        <v>46115.0</v>
      </c>
      <c r="G1135" s="2" t="s">
        <v>2153</v>
      </c>
      <c r="H1135" s="8">
        <v>2784335.0</v>
      </c>
      <c r="I1135" s="8">
        <v>124397.0</v>
      </c>
    </row>
    <row r="1136" ht="22.5" customHeight="1">
      <c r="A1136" s="2">
        <v>1135.0</v>
      </c>
      <c r="B1136" s="2" t="s">
        <v>2154</v>
      </c>
      <c r="C1136" s="2" t="s">
        <v>272</v>
      </c>
      <c r="D1136" s="2">
        <v>347.0</v>
      </c>
      <c r="E1136" s="5">
        <v>46236.0</v>
      </c>
      <c r="F1136" s="5">
        <v>46144.0</v>
      </c>
      <c r="G1136" s="2" t="s">
        <v>2155</v>
      </c>
      <c r="H1136" s="2" t="s">
        <v>2156</v>
      </c>
      <c r="I1136" s="2" t="s">
        <v>2157</v>
      </c>
    </row>
    <row r="1137" ht="22.5" customHeight="1">
      <c r="A1137" s="2">
        <v>1136.0</v>
      </c>
      <c r="B1137" s="2" t="s">
        <v>2158</v>
      </c>
      <c r="C1137" s="2" t="s">
        <v>276</v>
      </c>
      <c r="D1137" s="2">
        <v>1363.0</v>
      </c>
      <c r="E1137" s="5">
        <v>46057.0</v>
      </c>
      <c r="F1137" s="5">
        <v>46115.0</v>
      </c>
      <c r="G1137" s="8">
        <v>1396841.0</v>
      </c>
      <c r="H1137" s="8">
        <v>998606.0</v>
      </c>
      <c r="I1137" s="8" t="s">
        <v>2159</v>
      </c>
    </row>
    <row r="1138" ht="22.5" customHeight="1">
      <c r="A1138" s="2">
        <v>1137.0</v>
      </c>
      <c r="B1138" s="2" t="s">
        <v>2158</v>
      </c>
      <c r="C1138" s="2" t="s">
        <v>317</v>
      </c>
      <c r="D1138" s="2">
        <v>880.0</v>
      </c>
      <c r="E1138" s="5">
        <v>46148.0</v>
      </c>
      <c r="F1138" s="5">
        <v>46027.0</v>
      </c>
      <c r="G1138" s="2">
        <v>5720.0</v>
      </c>
      <c r="H1138" s="7">
        <v>4488.0</v>
      </c>
      <c r="I1138" s="2">
        <v>1232.0</v>
      </c>
    </row>
    <row r="1139" ht="22.5" customHeight="1">
      <c r="A1139" s="2">
        <v>1138.0</v>
      </c>
      <c r="B1139" s="2" t="s">
        <v>2160</v>
      </c>
      <c r="C1139" s="2" t="s">
        <v>276</v>
      </c>
      <c r="D1139" s="2">
        <v>2018.0</v>
      </c>
      <c r="E1139" s="5">
        <v>46057.0</v>
      </c>
      <c r="F1139" s="5">
        <v>46115.0</v>
      </c>
      <c r="G1139" s="8">
        <v>2401623.0</v>
      </c>
      <c r="H1139" s="8">
        <v>1812002.0</v>
      </c>
      <c r="I1139" s="8" t="s">
        <v>2161</v>
      </c>
    </row>
    <row r="1140" ht="22.5" customHeight="1">
      <c r="A1140" s="2">
        <v>1139.0</v>
      </c>
      <c r="B1140" s="2" t="s">
        <v>2160</v>
      </c>
      <c r="C1140" s="2" t="s">
        <v>276</v>
      </c>
      <c r="D1140" s="2">
        <v>2018.0</v>
      </c>
      <c r="E1140" s="5">
        <v>46057.0</v>
      </c>
      <c r="F1140" s="5">
        <v>46115.0</v>
      </c>
      <c r="G1140" s="8">
        <v>2401623.0</v>
      </c>
      <c r="H1140" s="8">
        <v>1812002.0</v>
      </c>
      <c r="I1140" s="8" t="s">
        <v>2161</v>
      </c>
    </row>
    <row r="1141" ht="22.5" customHeight="1">
      <c r="A1141" s="2">
        <v>1140.0</v>
      </c>
      <c r="B1141" s="2" t="s">
        <v>2160</v>
      </c>
      <c r="C1141" s="2" t="s">
        <v>276</v>
      </c>
      <c r="D1141" s="2">
        <v>2018.0</v>
      </c>
      <c r="E1141" s="5">
        <v>46057.0</v>
      </c>
      <c r="F1141" s="5">
        <v>46115.0</v>
      </c>
      <c r="G1141" s="8">
        <v>2401623.0</v>
      </c>
      <c r="H1141" s="8">
        <v>1812002.0</v>
      </c>
      <c r="I1141" s="8" t="s">
        <v>2161</v>
      </c>
    </row>
    <row r="1142" ht="22.5" customHeight="1">
      <c r="A1142" s="2">
        <v>1141.0</v>
      </c>
      <c r="B1142" s="2" t="s">
        <v>2162</v>
      </c>
      <c r="C1142" s="2" t="s">
        <v>317</v>
      </c>
      <c r="D1142" s="2">
        <v>4006.0</v>
      </c>
      <c r="E1142" s="5">
        <v>46148.0</v>
      </c>
      <c r="F1142" s="5">
        <v>46027.0</v>
      </c>
      <c r="G1142" s="2">
        <v>26039.0</v>
      </c>
      <c r="H1142" s="2" t="s">
        <v>2163</v>
      </c>
      <c r="I1142" s="8">
        <v>1354412.0</v>
      </c>
    </row>
    <row r="1143" ht="22.5" customHeight="1">
      <c r="A1143" s="2">
        <v>1142.0</v>
      </c>
      <c r="B1143" s="2" t="s">
        <v>2162</v>
      </c>
      <c r="C1143" s="2" t="s">
        <v>272</v>
      </c>
      <c r="D1143" s="2">
        <v>9300.0</v>
      </c>
      <c r="E1143" s="5">
        <v>46236.0</v>
      </c>
      <c r="F1143" s="5">
        <v>46144.0</v>
      </c>
      <c r="G1143" s="2">
        <v>26040.0</v>
      </c>
      <c r="H1143" s="7">
        <v>23250.0</v>
      </c>
      <c r="I1143" s="2">
        <v>2790.0</v>
      </c>
    </row>
    <row r="1144" ht="22.5" customHeight="1">
      <c r="A1144" s="2">
        <v>1143.0</v>
      </c>
      <c r="B1144" s="2" t="s">
        <v>2162</v>
      </c>
      <c r="C1144" s="2" t="s">
        <v>272</v>
      </c>
      <c r="D1144" s="2">
        <v>9301.0</v>
      </c>
      <c r="E1144" s="5">
        <v>46236.0</v>
      </c>
      <c r="F1144" s="5">
        <v>46144.0</v>
      </c>
      <c r="G1144" s="2" t="s">
        <v>2164</v>
      </c>
      <c r="H1144" s="2" t="s">
        <v>2165</v>
      </c>
      <c r="I1144" s="8">
        <v>325127.0</v>
      </c>
    </row>
    <row r="1145" ht="22.5" customHeight="1">
      <c r="A1145" s="2">
        <v>1144.0</v>
      </c>
      <c r="B1145" s="2" t="s">
        <v>2166</v>
      </c>
      <c r="C1145" s="2" t="s">
        <v>278</v>
      </c>
      <c r="D1145" s="2">
        <v>1052.0</v>
      </c>
      <c r="E1145" s="5">
        <v>46115.0</v>
      </c>
      <c r="F1145" s="2" t="s">
        <v>279</v>
      </c>
      <c r="G1145" s="8">
        <v>612361.0</v>
      </c>
      <c r="H1145" s="8">
        <v>401070.0</v>
      </c>
      <c r="I1145" s="2" t="s">
        <v>2167</v>
      </c>
    </row>
    <row r="1146" ht="22.5" customHeight="1">
      <c r="A1146" s="2">
        <v>1145.0</v>
      </c>
      <c r="B1146" s="2" t="s">
        <v>2166</v>
      </c>
      <c r="C1146" s="2" t="s">
        <v>270</v>
      </c>
      <c r="D1146" s="2">
        <v>436.0</v>
      </c>
      <c r="E1146" s="5">
        <v>46061.0</v>
      </c>
      <c r="F1146" s="5">
        <v>46059.0</v>
      </c>
      <c r="G1146" s="8">
        <v>611814.0</v>
      </c>
      <c r="H1146" s="8">
        <v>293322.0</v>
      </c>
      <c r="I1146" s="2">
        <v>872.0</v>
      </c>
    </row>
    <row r="1147" ht="22.5" customHeight="1">
      <c r="A1147" s="2">
        <v>1146.0</v>
      </c>
      <c r="B1147" s="2" t="s">
        <v>2166</v>
      </c>
      <c r="C1147" s="2" t="s">
        <v>278</v>
      </c>
      <c r="D1147" s="2">
        <v>1052.0</v>
      </c>
      <c r="E1147" s="5">
        <v>46115.0</v>
      </c>
      <c r="F1147" s="2" t="s">
        <v>279</v>
      </c>
      <c r="G1147" s="8">
        <v>612361.0</v>
      </c>
      <c r="H1147" s="8">
        <v>401070.0</v>
      </c>
      <c r="I1147" s="2" t="s">
        <v>2167</v>
      </c>
    </row>
    <row r="1148" ht="22.5" customHeight="1">
      <c r="A1148" s="2">
        <v>1147.0</v>
      </c>
      <c r="B1148" s="2" t="s">
        <v>2168</v>
      </c>
      <c r="C1148" s="2" t="s">
        <v>272</v>
      </c>
      <c r="D1148" s="2">
        <v>6710.0</v>
      </c>
      <c r="E1148" s="5">
        <v>46236.0</v>
      </c>
      <c r="F1148" s="5">
        <v>46144.0</v>
      </c>
      <c r="G1148" s="2">
        <v>18788.0</v>
      </c>
      <c r="H1148" s="7">
        <v>16775.0</v>
      </c>
      <c r="I1148" s="2">
        <v>2013.0</v>
      </c>
    </row>
    <row r="1149" ht="22.5" customHeight="1">
      <c r="A1149" s="2">
        <v>1148.0</v>
      </c>
      <c r="B1149" s="2" t="s">
        <v>2169</v>
      </c>
      <c r="C1149" s="2" t="s">
        <v>311</v>
      </c>
      <c r="D1149" s="2">
        <v>693.0</v>
      </c>
      <c r="E1149" s="5">
        <v>46057.0</v>
      </c>
      <c r="F1149" s="5">
        <v>46084.0</v>
      </c>
      <c r="G1149" s="8">
        <v>369048.0</v>
      </c>
      <c r="H1149" s="8">
        <v>141229.0</v>
      </c>
      <c r="I1149" s="2" t="s">
        <v>2170</v>
      </c>
    </row>
    <row r="1150" ht="22.5" customHeight="1">
      <c r="A1150" s="2">
        <v>1149.0</v>
      </c>
      <c r="B1150" s="2" t="s">
        <v>2169</v>
      </c>
      <c r="C1150" s="2" t="s">
        <v>287</v>
      </c>
      <c r="D1150" s="2">
        <v>277.0</v>
      </c>
      <c r="E1150" s="5">
        <v>46152.0</v>
      </c>
      <c r="F1150" s="5">
        <v>46241.0</v>
      </c>
      <c r="G1150" s="8">
        <v>368287.0</v>
      </c>
      <c r="H1150" s="8">
        <v>95117.0</v>
      </c>
      <c r="I1150" s="2" t="s">
        <v>2171</v>
      </c>
    </row>
    <row r="1151" ht="22.5" customHeight="1">
      <c r="A1151" s="2">
        <v>1150.0</v>
      </c>
      <c r="B1151" s="2" t="s">
        <v>2169</v>
      </c>
      <c r="C1151" s="2" t="s">
        <v>311</v>
      </c>
      <c r="D1151" s="2">
        <v>693.0</v>
      </c>
      <c r="E1151" s="5">
        <v>46057.0</v>
      </c>
      <c r="F1151" s="5">
        <v>46084.0</v>
      </c>
      <c r="G1151" s="8">
        <v>369048.0</v>
      </c>
      <c r="H1151" s="8">
        <v>141229.0</v>
      </c>
      <c r="I1151" s="2" t="s">
        <v>2170</v>
      </c>
    </row>
    <row r="1152" ht="22.5" customHeight="1">
      <c r="A1152" s="2">
        <v>1151.0</v>
      </c>
      <c r="B1152" s="2" t="s">
        <v>2172</v>
      </c>
      <c r="C1152" s="2" t="s">
        <v>272</v>
      </c>
      <c r="D1152" s="2">
        <v>793.0</v>
      </c>
      <c r="E1152" s="5">
        <v>46236.0</v>
      </c>
      <c r="F1152" s="5">
        <v>46144.0</v>
      </c>
      <c r="G1152" s="8">
        <v>116970.0</v>
      </c>
      <c r="H1152" s="8">
        <v>30072.0</v>
      </c>
      <c r="I1152" s="2" t="s">
        <v>2173</v>
      </c>
    </row>
    <row r="1153" ht="22.5" customHeight="1">
      <c r="A1153" s="2">
        <v>1152.0</v>
      </c>
      <c r="B1153" s="2" t="s">
        <v>2172</v>
      </c>
      <c r="C1153" s="2" t="s">
        <v>276</v>
      </c>
      <c r="D1153" s="2">
        <v>529.0</v>
      </c>
      <c r="E1153" s="5">
        <v>46057.0</v>
      </c>
      <c r="F1153" s="5">
        <v>46115.0</v>
      </c>
      <c r="G1153" s="8">
        <v>117457.0</v>
      </c>
      <c r="H1153" s="8" t="s">
        <v>2174</v>
      </c>
      <c r="I1153" s="2" t="s">
        <v>2175</v>
      </c>
    </row>
    <row r="1154" ht="22.5" customHeight="1">
      <c r="A1154" s="2">
        <v>1153.0</v>
      </c>
      <c r="B1154" s="2" t="s">
        <v>2176</v>
      </c>
      <c r="C1154" s="2" t="s">
        <v>278</v>
      </c>
      <c r="D1154" s="2">
        <v>1708.0</v>
      </c>
      <c r="E1154" s="5">
        <v>46115.0</v>
      </c>
      <c r="F1154" s="2" t="s">
        <v>279</v>
      </c>
      <c r="G1154" s="8">
        <v>1427035.0</v>
      </c>
      <c r="H1154" s="8">
        <v>1083889.0</v>
      </c>
      <c r="I1154" s="2" t="s">
        <v>2177</v>
      </c>
    </row>
    <row r="1155" ht="22.5" customHeight="1">
      <c r="A1155" s="2">
        <v>1154.0</v>
      </c>
      <c r="B1155" s="2" t="s">
        <v>2176</v>
      </c>
      <c r="C1155" s="2" t="s">
        <v>278</v>
      </c>
      <c r="D1155" s="2">
        <v>1708.0</v>
      </c>
      <c r="E1155" s="5">
        <v>46115.0</v>
      </c>
      <c r="F1155" s="2" t="s">
        <v>279</v>
      </c>
      <c r="G1155" s="8">
        <v>1427035.0</v>
      </c>
      <c r="H1155" s="8">
        <v>1083889.0</v>
      </c>
      <c r="I1155" s="2" t="s">
        <v>2177</v>
      </c>
    </row>
    <row r="1156" ht="22.5" customHeight="1">
      <c r="A1156" s="2">
        <v>1155.0</v>
      </c>
      <c r="B1156" s="2" t="s">
        <v>2176</v>
      </c>
      <c r="C1156" s="2" t="s">
        <v>278</v>
      </c>
      <c r="D1156" s="2">
        <v>1709.0</v>
      </c>
      <c r="E1156" s="5">
        <v>46115.0</v>
      </c>
      <c r="F1156" s="2" t="s">
        <v>279</v>
      </c>
      <c r="G1156" s="8">
        <v>1428251.0</v>
      </c>
      <c r="H1156" s="2" t="s">
        <v>2178</v>
      </c>
      <c r="I1156" s="2" t="s">
        <v>2179</v>
      </c>
    </row>
    <row r="1157" ht="22.5" customHeight="1">
      <c r="A1157" s="2">
        <v>1156.0</v>
      </c>
      <c r="B1157" s="2" t="s">
        <v>2180</v>
      </c>
      <c r="C1157" s="2" t="s">
        <v>311</v>
      </c>
      <c r="D1157" s="2">
        <v>5222.0</v>
      </c>
      <c r="E1157" s="5">
        <v>46057.0</v>
      </c>
      <c r="F1157" s="5">
        <v>46084.0</v>
      </c>
      <c r="G1157" s="2" t="s">
        <v>2181</v>
      </c>
      <c r="H1157" s="2" t="s">
        <v>2182</v>
      </c>
      <c r="I1157" s="8">
        <v>1022528.0</v>
      </c>
    </row>
    <row r="1158" ht="22.5" customHeight="1">
      <c r="A1158" s="2">
        <v>1157.0</v>
      </c>
      <c r="B1158" s="2" t="s">
        <v>2183</v>
      </c>
      <c r="C1158" s="2" t="s">
        <v>272</v>
      </c>
      <c r="D1158" s="2">
        <v>5681.0</v>
      </c>
      <c r="E1158" s="5">
        <v>46236.0</v>
      </c>
      <c r="F1158" s="5">
        <v>46144.0</v>
      </c>
      <c r="G1158" s="2" t="s">
        <v>2184</v>
      </c>
      <c r="H1158" s="2" t="s">
        <v>2185</v>
      </c>
      <c r="I1158" s="8" t="s">
        <v>2186</v>
      </c>
    </row>
    <row r="1159" ht="22.5" customHeight="1">
      <c r="A1159" s="2">
        <v>1158.0</v>
      </c>
      <c r="B1159" s="2" t="s">
        <v>2187</v>
      </c>
      <c r="C1159" s="2" t="s">
        <v>270</v>
      </c>
      <c r="D1159" s="2">
        <v>2739.0</v>
      </c>
      <c r="E1159" s="5">
        <v>46061.0</v>
      </c>
      <c r="F1159" s="5">
        <v>46059.0</v>
      </c>
      <c r="G1159" s="2" t="s">
        <v>2188</v>
      </c>
      <c r="H1159" s="2" t="s">
        <v>2189</v>
      </c>
      <c r="I1159" s="2">
        <v>5478.0</v>
      </c>
    </row>
    <row r="1160" ht="22.5" customHeight="1">
      <c r="A1160" s="2">
        <v>1159.0</v>
      </c>
      <c r="B1160" s="2" t="s">
        <v>2190</v>
      </c>
      <c r="C1160" s="2" t="s">
        <v>317</v>
      </c>
      <c r="D1160" s="2">
        <v>22448.0</v>
      </c>
      <c r="E1160" s="5">
        <v>46148.0</v>
      </c>
      <c r="F1160" s="5">
        <v>46027.0</v>
      </c>
      <c r="G1160" s="2">
        <v>145912.0</v>
      </c>
      <c r="H1160" s="2" t="s">
        <v>2191</v>
      </c>
      <c r="I1160" s="2" t="s">
        <v>2192</v>
      </c>
    </row>
    <row r="1161" ht="22.5" customHeight="1">
      <c r="A1161" s="2">
        <v>1160.0</v>
      </c>
      <c r="B1161" s="2" t="s">
        <v>2193</v>
      </c>
      <c r="C1161" s="2" t="s">
        <v>311</v>
      </c>
      <c r="D1161" s="2">
        <v>13722.0</v>
      </c>
      <c r="E1161" s="5">
        <v>46057.0</v>
      </c>
      <c r="F1161" s="5">
        <v>46084.0</v>
      </c>
      <c r="G1161" s="2" t="s">
        <v>2194</v>
      </c>
      <c r="H1161" s="2" t="s">
        <v>2195</v>
      </c>
      <c r="I1161" s="2" t="s">
        <v>2196</v>
      </c>
    </row>
    <row r="1162" ht="22.5" customHeight="1">
      <c r="A1162" s="2">
        <v>1161.0</v>
      </c>
      <c r="B1162" s="2" t="s">
        <v>2193</v>
      </c>
      <c r="C1162" s="2" t="s">
        <v>291</v>
      </c>
      <c r="D1162" s="2">
        <v>8475.0</v>
      </c>
      <c r="E1162" s="5">
        <v>46240.0</v>
      </c>
      <c r="F1162" s="5">
        <v>46027.0</v>
      </c>
      <c r="G1162" s="2">
        <v>57630.0</v>
      </c>
      <c r="H1162" s="2" t="s">
        <v>2197</v>
      </c>
      <c r="I1162" s="2" t="s">
        <v>2198</v>
      </c>
    </row>
    <row r="1163" ht="22.5" customHeight="1">
      <c r="A1163" s="2">
        <v>1162.0</v>
      </c>
      <c r="B1163" s="2" t="s">
        <v>2199</v>
      </c>
      <c r="C1163" s="2" t="s">
        <v>272</v>
      </c>
      <c r="D1163" s="2">
        <v>1335.0</v>
      </c>
      <c r="E1163" s="5">
        <v>46236.0</v>
      </c>
      <c r="F1163" s="5">
        <v>46144.0</v>
      </c>
      <c r="G1163" s="2">
        <v>3738.0</v>
      </c>
      <c r="H1163" s="8">
        <v>524976.0</v>
      </c>
      <c r="I1163" s="2" t="s">
        <v>2200</v>
      </c>
    </row>
    <row r="1164" ht="22.5" customHeight="1">
      <c r="A1164" s="2">
        <v>1163.0</v>
      </c>
      <c r="B1164" s="2" t="s">
        <v>2201</v>
      </c>
      <c r="C1164" s="2" t="s">
        <v>272</v>
      </c>
      <c r="D1164" s="2">
        <v>1128.0</v>
      </c>
      <c r="E1164" s="5">
        <v>46236.0</v>
      </c>
      <c r="F1164" s="5">
        <v>46144.0</v>
      </c>
      <c r="G1164" s="8">
        <v>459567.0</v>
      </c>
      <c r="H1164" s="7">
        <v>2820.0</v>
      </c>
      <c r="I1164" s="2" t="s">
        <v>1997</v>
      </c>
    </row>
    <row r="1165" ht="22.5" customHeight="1">
      <c r="A1165" s="2">
        <v>1164.0</v>
      </c>
      <c r="B1165" s="2" t="s">
        <v>2202</v>
      </c>
      <c r="C1165" s="2" t="s">
        <v>317</v>
      </c>
      <c r="D1165" s="2">
        <v>1135.0</v>
      </c>
      <c r="E1165" s="5">
        <v>46148.0</v>
      </c>
      <c r="F1165" s="5">
        <v>46027.0</v>
      </c>
      <c r="G1165" s="8">
        <v>2000556.0</v>
      </c>
      <c r="H1165" s="8">
        <v>1420186.0</v>
      </c>
      <c r="I1165" s="2">
        <v>1589.0</v>
      </c>
    </row>
    <row r="1166" ht="22.5" customHeight="1">
      <c r="A1166" s="2">
        <v>1165.0</v>
      </c>
      <c r="B1166" s="2" t="s">
        <v>2203</v>
      </c>
      <c r="C1166" s="2" t="s">
        <v>272</v>
      </c>
      <c r="D1166" s="2">
        <v>848.0</v>
      </c>
      <c r="E1166" s="5">
        <v>46236.0</v>
      </c>
      <c r="F1166" s="5">
        <v>46144.0</v>
      </c>
      <c r="G1166" s="8">
        <v>173217.0</v>
      </c>
      <c r="H1166" s="7">
        <v>2120.0</v>
      </c>
      <c r="I1166" s="2" t="s">
        <v>2204</v>
      </c>
    </row>
    <row r="1167" ht="22.5" customHeight="1">
      <c r="A1167" s="2">
        <v>1166.0</v>
      </c>
      <c r="B1167" s="2" t="s">
        <v>2203</v>
      </c>
      <c r="C1167" s="2" t="s">
        <v>272</v>
      </c>
      <c r="D1167" s="2">
        <v>848.0</v>
      </c>
      <c r="E1167" s="5">
        <v>46236.0</v>
      </c>
      <c r="F1167" s="5">
        <v>46144.0</v>
      </c>
      <c r="G1167" s="8">
        <v>173217.0</v>
      </c>
      <c r="H1167" s="7">
        <v>2120.0</v>
      </c>
      <c r="I1167" s="2" t="s">
        <v>2204</v>
      </c>
    </row>
    <row r="1168" ht="22.5" customHeight="1">
      <c r="A1168" s="2">
        <v>1167.0</v>
      </c>
      <c r="B1168" s="2" t="s">
        <v>2205</v>
      </c>
      <c r="C1168" s="2" t="s">
        <v>317</v>
      </c>
      <c r="D1168" s="2">
        <v>1938.0</v>
      </c>
      <c r="E1168" s="5">
        <v>46148.0</v>
      </c>
      <c r="F1168" s="5">
        <v>46027.0</v>
      </c>
      <c r="G1168" s="2">
        <v>12597.0</v>
      </c>
      <c r="H1168" s="8">
        <v>2915945.0</v>
      </c>
      <c r="I1168" s="8">
        <v>296975.0</v>
      </c>
    </row>
    <row r="1169" ht="22.5" customHeight="1">
      <c r="A1169" s="2">
        <v>1168.0</v>
      </c>
      <c r="B1169" s="2" t="s">
        <v>2205</v>
      </c>
      <c r="C1169" s="2" t="s">
        <v>272</v>
      </c>
      <c r="D1169" s="2">
        <v>4499.0</v>
      </c>
      <c r="E1169" s="5">
        <v>46236.0</v>
      </c>
      <c r="F1169" s="5">
        <v>46144.0</v>
      </c>
      <c r="G1169" s="2" t="s">
        <v>2206</v>
      </c>
      <c r="H1169" s="2" t="s">
        <v>2207</v>
      </c>
      <c r="I1169" s="8" t="s">
        <v>2208</v>
      </c>
    </row>
    <row r="1170" ht="22.5" customHeight="1">
      <c r="A1170" s="2">
        <v>1169.0</v>
      </c>
      <c r="B1170" s="2" t="s">
        <v>2209</v>
      </c>
      <c r="C1170" s="2" t="s">
        <v>311</v>
      </c>
      <c r="D1170" s="2">
        <v>4274.0</v>
      </c>
      <c r="E1170" s="5">
        <v>46057.0</v>
      </c>
      <c r="F1170" s="5">
        <v>46084.0</v>
      </c>
      <c r="G1170" s="2" t="s">
        <v>2210</v>
      </c>
      <c r="H1170" s="2" t="s">
        <v>2211</v>
      </c>
      <c r="I1170" s="8">
        <v>710915.0</v>
      </c>
    </row>
    <row r="1171" ht="22.5" customHeight="1">
      <c r="A1171" s="2">
        <v>1170.0</v>
      </c>
      <c r="B1171" s="2" t="s">
        <v>2212</v>
      </c>
      <c r="C1171" s="2" t="s">
        <v>276</v>
      </c>
      <c r="D1171" s="2">
        <v>2469.0</v>
      </c>
      <c r="E1171" s="5">
        <v>46057.0</v>
      </c>
      <c r="F1171" s="5">
        <v>46115.0</v>
      </c>
      <c r="G1171" s="2" t="s">
        <v>2213</v>
      </c>
      <c r="H1171" s="8">
        <v>2372038.0</v>
      </c>
      <c r="I1171" s="8">
        <v>27426.0</v>
      </c>
    </row>
    <row r="1172" ht="22.5" customHeight="1">
      <c r="A1172" s="2">
        <v>1171.0</v>
      </c>
      <c r="B1172" s="2" t="s">
        <v>2214</v>
      </c>
      <c r="C1172" s="2" t="s">
        <v>317</v>
      </c>
      <c r="D1172" s="2">
        <v>421.0</v>
      </c>
      <c r="E1172" s="5">
        <v>46148.0</v>
      </c>
      <c r="F1172" s="5">
        <v>46027.0</v>
      </c>
      <c r="G1172" s="8">
        <v>305465.0</v>
      </c>
      <c r="H1172" s="8">
        <v>90217.0</v>
      </c>
      <c r="I1172" s="2" t="s">
        <v>597</v>
      </c>
    </row>
    <row r="1173" ht="22.5" customHeight="1">
      <c r="A1173" s="2">
        <v>1172.0</v>
      </c>
      <c r="B1173" s="2" t="s">
        <v>2215</v>
      </c>
      <c r="C1173" s="2" t="s">
        <v>317</v>
      </c>
      <c r="D1173" s="2">
        <v>344.0</v>
      </c>
      <c r="E1173" s="5">
        <v>46148.0</v>
      </c>
      <c r="F1173" s="5">
        <v>46027.0</v>
      </c>
      <c r="G1173" s="2">
        <v>2236.0</v>
      </c>
      <c r="H1173" s="8" t="s">
        <v>2216</v>
      </c>
      <c r="I1173" s="2" t="s">
        <v>2217</v>
      </c>
    </row>
    <row r="1174" ht="22.5" customHeight="1">
      <c r="A1174" s="2">
        <v>1173.0</v>
      </c>
      <c r="B1174" s="2" t="s">
        <v>2218</v>
      </c>
      <c r="C1174" s="2" t="s">
        <v>272</v>
      </c>
      <c r="D1174" s="2">
        <v>17986.0</v>
      </c>
      <c r="E1174" s="5">
        <v>46236.0</v>
      </c>
      <c r="F1174" s="5">
        <v>46144.0</v>
      </c>
      <c r="G1174" s="2" t="s">
        <v>2219</v>
      </c>
      <c r="H1174" s="7">
        <v>44965.0</v>
      </c>
      <c r="I1174" s="8">
        <v>1276737.0</v>
      </c>
    </row>
    <row r="1175" ht="22.5" customHeight="1">
      <c r="A1175" s="2">
        <v>1174.0</v>
      </c>
      <c r="B1175" s="2" t="s">
        <v>2220</v>
      </c>
      <c r="C1175" s="2" t="s">
        <v>272</v>
      </c>
      <c r="D1175" s="2">
        <v>2287.0</v>
      </c>
      <c r="E1175" s="5">
        <v>46236.0</v>
      </c>
      <c r="F1175" s="5">
        <v>46144.0</v>
      </c>
      <c r="G1175" s="8">
        <v>1644840.0</v>
      </c>
      <c r="H1175" s="8">
        <v>1394253.0</v>
      </c>
      <c r="I1175" s="2" t="s">
        <v>2221</v>
      </c>
    </row>
    <row r="1176" ht="22.5" customHeight="1">
      <c r="A1176" s="2">
        <v>1175.0</v>
      </c>
      <c r="B1176" s="2" t="s">
        <v>2220</v>
      </c>
      <c r="C1176" s="2" t="s">
        <v>272</v>
      </c>
      <c r="D1176" s="2">
        <v>2287.0</v>
      </c>
      <c r="E1176" s="5">
        <v>46236.0</v>
      </c>
      <c r="F1176" s="5">
        <v>46144.0</v>
      </c>
      <c r="G1176" s="8">
        <v>1644840.0</v>
      </c>
      <c r="H1176" s="8">
        <v>1394253.0</v>
      </c>
      <c r="I1176" s="2" t="s">
        <v>2221</v>
      </c>
    </row>
    <row r="1177" ht="22.5" customHeight="1">
      <c r="A1177" s="2">
        <v>1176.0</v>
      </c>
      <c r="B1177" s="2" t="s">
        <v>2220</v>
      </c>
      <c r="C1177" s="2" t="s">
        <v>272</v>
      </c>
      <c r="D1177" s="2">
        <v>2287.0</v>
      </c>
      <c r="E1177" s="5">
        <v>46236.0</v>
      </c>
      <c r="F1177" s="5">
        <v>46144.0</v>
      </c>
      <c r="G1177" s="8">
        <v>1644840.0</v>
      </c>
      <c r="H1177" s="8">
        <v>1394253.0</v>
      </c>
      <c r="I1177" s="2" t="s">
        <v>2221</v>
      </c>
    </row>
    <row r="1178" ht="22.5" customHeight="1">
      <c r="A1178" s="2">
        <v>1177.0</v>
      </c>
      <c r="B1178" s="2" t="s">
        <v>2222</v>
      </c>
      <c r="C1178" s="2" t="s">
        <v>317</v>
      </c>
      <c r="D1178" s="2">
        <v>762.0</v>
      </c>
      <c r="E1178" s="5">
        <v>46148.0</v>
      </c>
      <c r="F1178" s="5">
        <v>46027.0</v>
      </c>
      <c r="G1178" s="2">
        <v>4953.0</v>
      </c>
      <c r="H1178" s="8">
        <v>725405.0</v>
      </c>
      <c r="I1178" s="8" t="s">
        <v>2223</v>
      </c>
    </row>
    <row r="1179" ht="22.5" customHeight="1">
      <c r="A1179" s="2">
        <v>1178.0</v>
      </c>
      <c r="B1179" s="2" t="s">
        <v>2224</v>
      </c>
      <c r="C1179" s="2" t="s">
        <v>317</v>
      </c>
      <c r="D1179" s="2">
        <v>4894.0</v>
      </c>
      <c r="E1179" s="5">
        <v>46148.0</v>
      </c>
      <c r="F1179" s="5">
        <v>46027.0</v>
      </c>
      <c r="G1179" s="2">
        <v>31811.0</v>
      </c>
      <c r="H1179" s="2" t="s">
        <v>2225</v>
      </c>
      <c r="I1179" s="8">
        <v>1808469.0</v>
      </c>
    </row>
    <row r="1180" ht="22.5" customHeight="1">
      <c r="A1180" s="2">
        <v>1179.0</v>
      </c>
      <c r="B1180" s="2" t="s">
        <v>2224</v>
      </c>
      <c r="C1180" s="2" t="s">
        <v>276</v>
      </c>
      <c r="D1180" s="2">
        <v>7573.0</v>
      </c>
      <c r="E1180" s="5">
        <v>46057.0</v>
      </c>
      <c r="F1180" s="5">
        <v>46115.0</v>
      </c>
      <c r="G1180" s="2" t="s">
        <v>2226</v>
      </c>
      <c r="H1180" s="2" t="s">
        <v>2227</v>
      </c>
      <c r="I1180" s="8">
        <v>1518771.0</v>
      </c>
    </row>
    <row r="1181" ht="22.5" customHeight="1">
      <c r="A1181" s="2">
        <v>1180.0</v>
      </c>
      <c r="B1181" s="2" t="s">
        <v>2228</v>
      </c>
      <c r="C1181" s="2" t="s">
        <v>278</v>
      </c>
      <c r="D1181" s="2">
        <v>7562.0</v>
      </c>
      <c r="E1181" s="5">
        <v>46115.0</v>
      </c>
      <c r="F1181" s="2" t="s">
        <v>279</v>
      </c>
      <c r="G1181" s="2" t="s">
        <v>2229</v>
      </c>
      <c r="H1181" s="2" t="s">
        <v>2230</v>
      </c>
      <c r="I1181" s="8">
        <v>825085.0</v>
      </c>
    </row>
    <row r="1182" ht="22.5" customHeight="1">
      <c r="A1182" s="2">
        <v>1181.0</v>
      </c>
      <c r="B1182" s="2" t="s">
        <v>2228</v>
      </c>
      <c r="C1182" s="2" t="s">
        <v>278</v>
      </c>
      <c r="D1182" s="2">
        <v>7562.0</v>
      </c>
      <c r="E1182" s="5">
        <v>46115.0</v>
      </c>
      <c r="F1182" s="2" t="s">
        <v>279</v>
      </c>
      <c r="G1182" s="2" t="s">
        <v>2229</v>
      </c>
      <c r="H1182" s="2" t="s">
        <v>2230</v>
      </c>
      <c r="I1182" s="8">
        <v>825085.0</v>
      </c>
    </row>
    <row r="1183" ht="22.5" customHeight="1">
      <c r="A1183" s="2">
        <v>1182.0</v>
      </c>
      <c r="B1183" s="2" t="s">
        <v>2228</v>
      </c>
      <c r="C1183" s="2" t="s">
        <v>269</v>
      </c>
      <c r="D1183" s="2">
        <v>4944.0</v>
      </c>
      <c r="E1183" s="5">
        <v>46058.0</v>
      </c>
      <c r="F1183" s="6">
        <v>46146.0</v>
      </c>
      <c r="G1183" s="2" t="s">
        <v>2231</v>
      </c>
      <c r="H1183" s="2" t="s">
        <v>2232</v>
      </c>
      <c r="I1183" s="8">
        <v>1382597.0</v>
      </c>
    </row>
    <row r="1184" ht="22.5" customHeight="1">
      <c r="A1184" s="2">
        <v>1183.0</v>
      </c>
      <c r="B1184" s="2" t="s">
        <v>2233</v>
      </c>
      <c r="C1184" s="2" t="s">
        <v>311</v>
      </c>
      <c r="D1184" s="2">
        <v>1087.0</v>
      </c>
      <c r="E1184" s="5">
        <v>46057.0</v>
      </c>
      <c r="F1184" s="5">
        <v>46084.0</v>
      </c>
      <c r="G1184" s="8">
        <v>973464.0</v>
      </c>
      <c r="H1184" s="8">
        <v>616166.0</v>
      </c>
      <c r="I1184" s="2" t="s">
        <v>2234</v>
      </c>
    </row>
    <row r="1185" ht="22.5" customHeight="1">
      <c r="A1185" s="2">
        <v>1184.0</v>
      </c>
      <c r="B1185" s="2" t="s">
        <v>2235</v>
      </c>
      <c r="C1185" s="2" t="s">
        <v>276</v>
      </c>
      <c r="D1185" s="2">
        <v>4087.0</v>
      </c>
      <c r="E1185" s="5">
        <v>46057.0</v>
      </c>
      <c r="F1185" s="5">
        <v>46115.0</v>
      </c>
      <c r="G1185" s="2" t="s">
        <v>2236</v>
      </c>
      <c r="H1185" s="2" t="s">
        <v>2237</v>
      </c>
      <c r="I1185" s="8">
        <v>500171.0</v>
      </c>
    </row>
    <row r="1186" ht="22.5" customHeight="1">
      <c r="A1186" s="2">
        <v>1185.0</v>
      </c>
      <c r="B1186" s="2" t="s">
        <v>2238</v>
      </c>
      <c r="C1186" s="2" t="s">
        <v>317</v>
      </c>
      <c r="D1186" s="2">
        <v>1428.0</v>
      </c>
      <c r="E1186" s="5">
        <v>46148.0</v>
      </c>
      <c r="F1186" s="5">
        <v>46027.0</v>
      </c>
      <c r="G1186" s="2">
        <v>9282.0</v>
      </c>
      <c r="H1186" s="8">
        <v>1965950.0</v>
      </c>
      <c r="I1186" s="8">
        <v>36192.0</v>
      </c>
    </row>
    <row r="1187" ht="22.5" customHeight="1">
      <c r="A1187" s="2">
        <v>1186.0</v>
      </c>
      <c r="B1187" s="2" t="s">
        <v>2238</v>
      </c>
      <c r="C1187" s="2" t="s">
        <v>272</v>
      </c>
      <c r="D1187" s="2">
        <v>3316.0</v>
      </c>
      <c r="E1187" s="5">
        <v>46236.0</v>
      </c>
      <c r="F1187" s="5">
        <v>46144.0</v>
      </c>
      <c r="G1187" s="8">
        <v>2697166.0</v>
      </c>
      <c r="H1187" s="7">
        <v>8290.0</v>
      </c>
      <c r="I1187" s="2" t="s">
        <v>2239</v>
      </c>
    </row>
    <row r="1188" ht="22.5" customHeight="1">
      <c r="A1188" s="2">
        <v>1187.0</v>
      </c>
      <c r="B1188" s="2" t="s">
        <v>2240</v>
      </c>
      <c r="C1188" s="2" t="s">
        <v>278</v>
      </c>
      <c r="D1188" s="2">
        <v>1812.0</v>
      </c>
      <c r="E1188" s="5">
        <v>46115.0</v>
      </c>
      <c r="F1188" s="2" t="s">
        <v>279</v>
      </c>
      <c r="G1188" s="8">
        <v>1556148.0</v>
      </c>
      <c r="H1188" s="8">
        <v>1192184.0</v>
      </c>
      <c r="I1188" s="2" t="s">
        <v>2241</v>
      </c>
    </row>
    <row r="1189" ht="22.5" customHeight="1">
      <c r="A1189" s="2">
        <v>1188.0</v>
      </c>
      <c r="B1189" s="2" t="s">
        <v>2240</v>
      </c>
      <c r="C1189" s="2" t="s">
        <v>269</v>
      </c>
      <c r="D1189" s="2">
        <v>1185.0</v>
      </c>
      <c r="E1189" s="5">
        <v>46058.0</v>
      </c>
      <c r="F1189" s="6">
        <v>46146.0</v>
      </c>
      <c r="G1189" s="2">
        <v>6162.0</v>
      </c>
      <c r="H1189" s="2" t="s">
        <v>2242</v>
      </c>
      <c r="I1189" s="2" t="s">
        <v>2243</v>
      </c>
    </row>
    <row r="1190" ht="22.5" customHeight="1">
      <c r="A1190" s="2">
        <v>1189.0</v>
      </c>
      <c r="B1190" s="2" t="s">
        <v>2240</v>
      </c>
      <c r="C1190" s="2" t="s">
        <v>278</v>
      </c>
      <c r="D1190" s="2">
        <v>1813.0</v>
      </c>
      <c r="E1190" s="5">
        <v>46115.0</v>
      </c>
      <c r="F1190" s="2" t="s">
        <v>279</v>
      </c>
      <c r="G1190" s="8">
        <v>1557427.0</v>
      </c>
      <c r="H1190" s="9">
        <v>1193369.0</v>
      </c>
      <c r="I1190" s="2" t="s">
        <v>2244</v>
      </c>
    </row>
    <row r="1191" ht="22.5" customHeight="1">
      <c r="A1191" s="2">
        <v>1190.0</v>
      </c>
      <c r="B1191" s="2" t="s">
        <v>2245</v>
      </c>
      <c r="C1191" s="2" t="s">
        <v>311</v>
      </c>
      <c r="D1191" s="2">
        <v>8014.0</v>
      </c>
      <c r="E1191" s="5">
        <v>46057.0</v>
      </c>
      <c r="F1191" s="5">
        <v>46084.0</v>
      </c>
      <c r="G1191" s="2" t="s">
        <v>2246</v>
      </c>
      <c r="H1191" s="2" t="s">
        <v>2247</v>
      </c>
      <c r="I1191" s="8">
        <v>1940322.0</v>
      </c>
    </row>
    <row r="1192" ht="22.5" customHeight="1">
      <c r="A1192" s="2">
        <v>1191.0</v>
      </c>
      <c r="B1192" s="2" t="s">
        <v>2245</v>
      </c>
      <c r="C1192" s="2" t="s">
        <v>287</v>
      </c>
      <c r="D1192" s="2">
        <v>3206.0</v>
      </c>
      <c r="E1192" s="5">
        <v>46152.0</v>
      </c>
      <c r="F1192" s="5">
        <v>46241.0</v>
      </c>
      <c r="G1192" s="2">
        <v>33663.0</v>
      </c>
      <c r="H1192" s="2" t="s">
        <v>2248</v>
      </c>
      <c r="I1192" s="8">
        <v>2467611.0</v>
      </c>
    </row>
    <row r="1193" ht="22.5" customHeight="1">
      <c r="A1193" s="2">
        <v>1192.0</v>
      </c>
      <c r="B1193" s="2" t="s">
        <v>2249</v>
      </c>
      <c r="C1193" s="2" t="s">
        <v>276</v>
      </c>
      <c r="D1193" s="2">
        <v>1731.0</v>
      </c>
      <c r="E1193" s="5">
        <v>46057.0</v>
      </c>
      <c r="F1193" s="5">
        <v>46115.0</v>
      </c>
      <c r="G1193" s="8">
        <v>1961386.0</v>
      </c>
      <c r="H1193" s="8">
        <v>1455584.0</v>
      </c>
      <c r="I1193" s="8" t="s">
        <v>2250</v>
      </c>
    </row>
    <row r="1194" ht="22.5" customHeight="1">
      <c r="A1194" s="2">
        <v>1193.0</v>
      </c>
      <c r="B1194" s="2" t="s">
        <v>2251</v>
      </c>
      <c r="C1194" s="2" t="s">
        <v>272</v>
      </c>
      <c r="D1194" s="2">
        <v>11872.0</v>
      </c>
      <c r="E1194" s="5">
        <v>46236.0</v>
      </c>
      <c r="F1194" s="5">
        <v>46144.0</v>
      </c>
      <c r="G1194" s="2" t="s">
        <v>2252</v>
      </c>
      <c r="H1194" s="7">
        <v>29680.0</v>
      </c>
      <c r="I1194" s="8">
        <v>606821.0</v>
      </c>
    </row>
    <row r="1195" ht="22.5" customHeight="1">
      <c r="A1195" s="2">
        <v>1194.0</v>
      </c>
      <c r="B1195" s="2" t="s">
        <v>2251</v>
      </c>
      <c r="C1195" s="2" t="s">
        <v>276</v>
      </c>
      <c r="D1195" s="2">
        <v>7915.0</v>
      </c>
      <c r="E1195" s="5">
        <v>46057.0</v>
      </c>
      <c r="F1195" s="5">
        <v>46115.0</v>
      </c>
      <c r="G1195" s="2">
        <v>33243.0</v>
      </c>
      <c r="H1195" s="7">
        <v>26911.0</v>
      </c>
      <c r="I1195" s="2">
        <v>6332.0</v>
      </c>
    </row>
    <row r="1196" ht="22.5" customHeight="1">
      <c r="A1196" s="2">
        <v>1195.0</v>
      </c>
      <c r="B1196" s="2" t="s">
        <v>2253</v>
      </c>
      <c r="C1196" s="2" t="s">
        <v>272</v>
      </c>
      <c r="D1196" s="2">
        <v>4588.0</v>
      </c>
      <c r="E1196" s="5">
        <v>46236.0</v>
      </c>
      <c r="F1196" s="5">
        <v>46144.0</v>
      </c>
      <c r="G1196" s="2" t="s">
        <v>2254</v>
      </c>
      <c r="H1196" s="7">
        <v>11470.0</v>
      </c>
      <c r="I1196" s="8" t="s">
        <v>2255</v>
      </c>
    </row>
    <row r="1197" ht="22.5" customHeight="1">
      <c r="A1197" s="2">
        <v>1196.0</v>
      </c>
      <c r="B1197" s="2" t="s">
        <v>2253</v>
      </c>
      <c r="C1197" s="2" t="s">
        <v>317</v>
      </c>
      <c r="D1197" s="2">
        <v>1976.0</v>
      </c>
      <c r="E1197" s="5">
        <v>46148.0</v>
      </c>
      <c r="F1197" s="5">
        <v>46027.0</v>
      </c>
      <c r="G1197" s="2">
        <v>12844.0</v>
      </c>
      <c r="H1197" s="2" t="s">
        <v>2256</v>
      </c>
      <c r="I1197" s="8">
        <v>316392.0</v>
      </c>
    </row>
    <row r="1198" ht="22.5" customHeight="1">
      <c r="A1198" s="2">
        <v>1197.0</v>
      </c>
      <c r="B1198" s="2" t="s">
        <v>2257</v>
      </c>
      <c r="C1198" s="2" t="s">
        <v>311</v>
      </c>
      <c r="D1198" s="2">
        <v>6019.0</v>
      </c>
      <c r="E1198" s="5">
        <v>46057.0</v>
      </c>
      <c r="F1198" s="5">
        <v>46084.0</v>
      </c>
      <c r="G1198" s="2" t="s">
        <v>2258</v>
      </c>
      <c r="H1198" s="2" t="s">
        <v>2259</v>
      </c>
      <c r="I1198" s="8">
        <v>1284560.0</v>
      </c>
    </row>
    <row r="1199" ht="22.5" customHeight="1">
      <c r="A1199" s="2">
        <v>1198.0</v>
      </c>
      <c r="B1199" s="2" t="s">
        <v>2260</v>
      </c>
      <c r="C1199" s="2" t="s">
        <v>269</v>
      </c>
      <c r="D1199" s="2">
        <v>268.0</v>
      </c>
      <c r="E1199" s="5">
        <v>46058.0</v>
      </c>
      <c r="F1199" s="6">
        <v>46146.0</v>
      </c>
      <c r="G1199" s="8" t="s">
        <v>2261</v>
      </c>
      <c r="H1199" s="8" t="s">
        <v>2262</v>
      </c>
      <c r="I1199" s="2" t="s">
        <v>2263</v>
      </c>
    </row>
    <row r="1200" ht="22.5" customHeight="1">
      <c r="A1200" s="2">
        <v>1199.0</v>
      </c>
      <c r="B1200" s="2" t="s">
        <v>2260</v>
      </c>
      <c r="C1200" s="2" t="s">
        <v>278</v>
      </c>
      <c r="D1200" s="2">
        <v>411.0</v>
      </c>
      <c r="E1200" s="5">
        <v>46115.0</v>
      </c>
      <c r="F1200" s="2" t="s">
        <v>279</v>
      </c>
      <c r="G1200" s="8" t="s">
        <v>2264</v>
      </c>
      <c r="H1200" s="2" t="s">
        <v>2265</v>
      </c>
      <c r="I1200" s="2" t="s">
        <v>2266</v>
      </c>
    </row>
    <row r="1201" ht="22.5" customHeight="1">
      <c r="A1201" s="2">
        <v>1200.0</v>
      </c>
      <c r="B1201" s="2" t="s">
        <v>2260</v>
      </c>
      <c r="C1201" s="2" t="s">
        <v>269</v>
      </c>
      <c r="D1201" s="2">
        <v>268.0</v>
      </c>
      <c r="E1201" s="5">
        <v>46058.0</v>
      </c>
      <c r="F1201" s="6">
        <v>46146.0</v>
      </c>
      <c r="G1201" s="8" t="s">
        <v>2261</v>
      </c>
      <c r="H1201" s="8" t="s">
        <v>2262</v>
      </c>
      <c r="I1201" s="2" t="s">
        <v>2263</v>
      </c>
    </row>
    <row r="1202" ht="22.5" customHeight="1">
      <c r="A1202" s="2">
        <v>1201.0</v>
      </c>
      <c r="B1202" s="2" t="s">
        <v>2267</v>
      </c>
      <c r="C1202" s="2" t="s">
        <v>276</v>
      </c>
      <c r="D1202" s="2">
        <v>1857.0</v>
      </c>
      <c r="E1202" s="5">
        <v>46057.0</v>
      </c>
      <c r="F1202" s="5">
        <v>46115.0</v>
      </c>
      <c r="G1202" s="8">
        <v>2154658.0</v>
      </c>
      <c r="H1202" s="8">
        <v>1612029.0</v>
      </c>
      <c r="I1202" s="8" t="s">
        <v>2268</v>
      </c>
    </row>
    <row r="1203" ht="22.5" customHeight="1">
      <c r="A1203" s="2">
        <v>1202.0</v>
      </c>
      <c r="B1203" s="2" t="s">
        <v>2267</v>
      </c>
      <c r="C1203" s="2" t="s">
        <v>272</v>
      </c>
      <c r="D1203" s="2">
        <v>2785.0</v>
      </c>
      <c r="E1203" s="5">
        <v>46236.0</v>
      </c>
      <c r="F1203" s="5">
        <v>46144.0</v>
      </c>
      <c r="G1203" s="2">
        <v>7798.0</v>
      </c>
      <c r="H1203" s="8">
        <v>1848980.0</v>
      </c>
      <c r="I1203" s="2" t="s">
        <v>2269</v>
      </c>
    </row>
    <row r="1204" ht="22.5" customHeight="1">
      <c r="A1204" s="2">
        <v>1203.0</v>
      </c>
      <c r="B1204" s="2" t="s">
        <v>2267</v>
      </c>
      <c r="C1204" s="2" t="s">
        <v>272</v>
      </c>
      <c r="D1204" s="2">
        <v>2785.0</v>
      </c>
      <c r="E1204" s="5">
        <v>46236.0</v>
      </c>
      <c r="F1204" s="5">
        <v>46144.0</v>
      </c>
      <c r="G1204" s="2">
        <v>7798.0</v>
      </c>
      <c r="H1204" s="8">
        <v>1848980.0</v>
      </c>
      <c r="I1204" s="2" t="s">
        <v>2269</v>
      </c>
    </row>
    <row r="1205" ht="22.5" customHeight="1">
      <c r="A1205" s="2">
        <v>1204.0</v>
      </c>
      <c r="B1205" s="2" t="s">
        <v>2270</v>
      </c>
      <c r="C1205" s="2" t="s">
        <v>272</v>
      </c>
      <c r="D1205" s="2">
        <v>1219.0</v>
      </c>
      <c r="E1205" s="5">
        <v>46236.0</v>
      </c>
      <c r="F1205" s="5">
        <v>46144.0</v>
      </c>
      <c r="G1205" s="8">
        <v>552645.0</v>
      </c>
      <c r="H1205" s="8">
        <v>419055.0</v>
      </c>
      <c r="I1205" s="2" t="s">
        <v>2271</v>
      </c>
    </row>
    <row r="1206" ht="22.5" customHeight="1">
      <c r="A1206" s="2">
        <v>1205.0</v>
      </c>
      <c r="B1206" s="2" t="s">
        <v>2270</v>
      </c>
      <c r="C1206" s="2" t="s">
        <v>272</v>
      </c>
      <c r="D1206" s="2">
        <v>1219.0</v>
      </c>
      <c r="E1206" s="5">
        <v>46236.0</v>
      </c>
      <c r="F1206" s="5">
        <v>46144.0</v>
      </c>
      <c r="G1206" s="8">
        <v>552645.0</v>
      </c>
      <c r="H1206" s="8">
        <v>419055.0</v>
      </c>
      <c r="I1206" s="2" t="s">
        <v>2271</v>
      </c>
    </row>
    <row r="1207" ht="22.5" customHeight="1">
      <c r="A1207" s="2">
        <v>1206.0</v>
      </c>
      <c r="B1207" s="2" t="s">
        <v>2272</v>
      </c>
      <c r="C1207" s="2" t="s">
        <v>278</v>
      </c>
      <c r="D1207" s="2">
        <v>1457.0</v>
      </c>
      <c r="E1207" s="5">
        <v>46115.0</v>
      </c>
      <c r="F1207" s="2" t="s">
        <v>279</v>
      </c>
      <c r="G1207" s="8">
        <v>1115300.0</v>
      </c>
      <c r="H1207" s="2" t="s">
        <v>2273</v>
      </c>
      <c r="I1207" s="2" t="s">
        <v>2274</v>
      </c>
    </row>
    <row r="1208" ht="22.5" customHeight="1">
      <c r="A1208" s="2">
        <v>1207.0</v>
      </c>
      <c r="B1208" s="2" t="s">
        <v>2275</v>
      </c>
      <c r="C1208" s="2" t="s">
        <v>276</v>
      </c>
      <c r="D1208" s="2">
        <v>866.0</v>
      </c>
      <c r="E1208" s="5">
        <v>46057.0</v>
      </c>
      <c r="F1208" s="5">
        <v>46115.0</v>
      </c>
      <c r="G1208" s="8">
        <v>634460.0</v>
      </c>
      <c r="H1208" s="8">
        <v>381406.0</v>
      </c>
      <c r="I1208" s="2" t="s">
        <v>2276</v>
      </c>
    </row>
    <row r="1209" ht="22.5" customHeight="1">
      <c r="A1209" s="2">
        <v>1208.0</v>
      </c>
      <c r="B1209" s="2" t="s">
        <v>2277</v>
      </c>
      <c r="C1209" s="2" t="s">
        <v>272</v>
      </c>
      <c r="D1209" s="2">
        <v>3226.0</v>
      </c>
      <c r="E1209" s="5">
        <v>46236.0</v>
      </c>
      <c r="F1209" s="5">
        <v>46144.0</v>
      </c>
      <c r="G1209" s="8">
        <v>2605124.0</v>
      </c>
      <c r="H1209" s="7">
        <v>8065.0</v>
      </c>
      <c r="I1209" s="2" t="s">
        <v>2278</v>
      </c>
    </row>
    <row r="1210" ht="22.5" customHeight="1">
      <c r="A1210" s="2">
        <v>1209.0</v>
      </c>
      <c r="B1210" s="2" t="s">
        <v>2277</v>
      </c>
      <c r="C1210" s="2" t="s">
        <v>317</v>
      </c>
      <c r="D1210" s="2">
        <v>1390.0</v>
      </c>
      <c r="E1210" s="5">
        <v>46148.0</v>
      </c>
      <c r="F1210" s="5">
        <v>46027.0</v>
      </c>
      <c r="G1210" s="2">
        <v>9035.0</v>
      </c>
      <c r="H1210" s="7">
        <v>7089.0</v>
      </c>
      <c r="I1210" s="2">
        <v>1946.0</v>
      </c>
    </row>
    <row r="1211" ht="22.5" customHeight="1">
      <c r="A1211" s="2">
        <v>1210.0</v>
      </c>
      <c r="B1211" s="2" t="s">
        <v>2279</v>
      </c>
      <c r="C1211" s="2" t="s">
        <v>278</v>
      </c>
      <c r="D1211" s="2">
        <v>3662.0</v>
      </c>
      <c r="E1211" s="5">
        <v>46115.0</v>
      </c>
      <c r="F1211" s="2" t="s">
        <v>279</v>
      </c>
      <c r="G1211" s="2" t="s">
        <v>2280</v>
      </c>
      <c r="H1211" s="2" t="s">
        <v>2281</v>
      </c>
      <c r="I1211" s="8">
        <v>41640.0</v>
      </c>
    </row>
    <row r="1212" ht="22.5" customHeight="1">
      <c r="A1212" s="2">
        <v>1211.0</v>
      </c>
      <c r="B1212" s="2" t="s">
        <v>2279</v>
      </c>
      <c r="C1212" s="2" t="s">
        <v>278</v>
      </c>
      <c r="D1212" s="2">
        <v>3662.0</v>
      </c>
      <c r="E1212" s="5">
        <v>46115.0</v>
      </c>
      <c r="F1212" s="2" t="s">
        <v>279</v>
      </c>
      <c r="G1212" s="2" t="s">
        <v>2280</v>
      </c>
      <c r="H1212" s="2" t="s">
        <v>2281</v>
      </c>
      <c r="I1212" s="8">
        <v>41640.0</v>
      </c>
    </row>
    <row r="1213" ht="22.5" customHeight="1">
      <c r="A1213" s="2">
        <v>1212.0</v>
      </c>
      <c r="B1213" s="2" t="s">
        <v>2282</v>
      </c>
      <c r="C1213" s="2" t="s">
        <v>317</v>
      </c>
      <c r="D1213" s="2">
        <v>2260.0</v>
      </c>
      <c r="E1213" s="5">
        <v>46148.0</v>
      </c>
      <c r="F1213" s="5">
        <v>46027.0</v>
      </c>
      <c r="G1213" s="2">
        <v>14690.0</v>
      </c>
      <c r="H1213" s="7">
        <v>11526.0</v>
      </c>
      <c r="I1213" s="2">
        <v>3164.0</v>
      </c>
    </row>
    <row r="1214" ht="22.5" customHeight="1">
      <c r="A1214" s="2">
        <v>1213.0</v>
      </c>
      <c r="B1214" s="2" t="s">
        <v>2283</v>
      </c>
      <c r="C1214" s="2" t="s">
        <v>278</v>
      </c>
      <c r="D1214" s="2">
        <v>3448.0</v>
      </c>
      <c r="E1214" s="5">
        <v>46115.0</v>
      </c>
      <c r="F1214" s="2" t="s">
        <v>279</v>
      </c>
      <c r="G1214" s="2" t="s">
        <v>2284</v>
      </c>
      <c r="H1214" s="8">
        <v>2895126.0</v>
      </c>
      <c r="I1214" s="8" t="s">
        <v>2285</v>
      </c>
    </row>
    <row r="1215" ht="22.5" customHeight="1">
      <c r="A1215" s="2">
        <v>1214.0</v>
      </c>
      <c r="B1215" s="2" t="s">
        <v>2286</v>
      </c>
      <c r="C1215" s="2" t="s">
        <v>276</v>
      </c>
      <c r="D1215" s="2">
        <v>3000.0</v>
      </c>
      <c r="E1215" s="5">
        <v>46057.0</v>
      </c>
      <c r="F1215" s="5">
        <v>46115.0</v>
      </c>
      <c r="G1215" s="2">
        <v>12600.0</v>
      </c>
      <c r="H1215" s="7">
        <v>10200.0</v>
      </c>
      <c r="I1215" s="2">
        <v>2400.0</v>
      </c>
    </row>
    <row r="1216" ht="22.5" customHeight="1">
      <c r="A1216" s="2">
        <v>1215.0</v>
      </c>
      <c r="B1216" s="2" t="s">
        <v>2287</v>
      </c>
      <c r="C1216" s="2" t="s">
        <v>311</v>
      </c>
      <c r="D1216" s="2">
        <v>1638.0</v>
      </c>
      <c r="E1216" s="5">
        <v>46057.0</v>
      </c>
      <c r="F1216" s="5">
        <v>46084.0</v>
      </c>
      <c r="G1216" s="8">
        <v>1818696.0</v>
      </c>
      <c r="H1216" s="8">
        <v>1280267.0</v>
      </c>
      <c r="I1216" s="8" t="s">
        <v>760</v>
      </c>
    </row>
    <row r="1217" ht="22.5" customHeight="1">
      <c r="A1217" s="2">
        <v>1216.0</v>
      </c>
      <c r="B1217" s="2" t="s">
        <v>2287</v>
      </c>
      <c r="C1217" s="2" t="s">
        <v>311</v>
      </c>
      <c r="D1217" s="2">
        <v>1637.0</v>
      </c>
      <c r="E1217" s="5">
        <v>46057.0</v>
      </c>
      <c r="F1217" s="5">
        <v>46084.0</v>
      </c>
      <c r="G1217" s="8">
        <v>1817174.0</v>
      </c>
      <c r="H1217" s="8">
        <v>1279081.0</v>
      </c>
      <c r="I1217" s="8" t="s">
        <v>2288</v>
      </c>
    </row>
    <row r="1218" ht="22.5" customHeight="1">
      <c r="A1218" s="2">
        <v>1217.0</v>
      </c>
      <c r="B1218" s="2" t="s">
        <v>2287</v>
      </c>
      <c r="C1218" s="2" t="s">
        <v>291</v>
      </c>
      <c r="D1218" s="2">
        <v>1012.0</v>
      </c>
      <c r="E1218" s="5">
        <v>46240.0</v>
      </c>
      <c r="F1218" s="5">
        <v>46027.0</v>
      </c>
      <c r="G1218" s="8">
        <v>1819427.0</v>
      </c>
      <c r="H1218" s="8">
        <v>1191089.0</v>
      </c>
      <c r="I1218" s="8" t="s">
        <v>1288</v>
      </c>
    </row>
    <row r="1219" ht="22.5" customHeight="1">
      <c r="A1219" s="2">
        <v>1218.0</v>
      </c>
      <c r="B1219" s="2" t="s">
        <v>2289</v>
      </c>
      <c r="C1219" s="2" t="s">
        <v>272</v>
      </c>
      <c r="D1219" s="2">
        <v>1830.0</v>
      </c>
      <c r="E1219" s="5">
        <v>46236.0</v>
      </c>
      <c r="F1219" s="5">
        <v>46144.0</v>
      </c>
      <c r="G1219" s="2">
        <v>5124.0</v>
      </c>
      <c r="H1219" s="7">
        <v>4575.0</v>
      </c>
      <c r="I1219" s="2">
        <v>549.0</v>
      </c>
    </row>
    <row r="1220" ht="22.5" customHeight="1">
      <c r="A1220" s="2">
        <v>1219.0</v>
      </c>
      <c r="B1220" s="2" t="s">
        <v>2289</v>
      </c>
      <c r="C1220" s="2" t="s">
        <v>276</v>
      </c>
      <c r="D1220" s="2">
        <v>1220.0</v>
      </c>
      <c r="E1220" s="5">
        <v>46057.0</v>
      </c>
      <c r="F1220" s="5">
        <v>46115.0</v>
      </c>
      <c r="G1220" s="2">
        <v>5124.0</v>
      </c>
      <c r="H1220" s="7">
        <v>4148.0</v>
      </c>
      <c r="I1220" s="2">
        <v>976.0</v>
      </c>
    </row>
    <row r="1221" ht="22.5" customHeight="1">
      <c r="A1221" s="2">
        <v>1220.0</v>
      </c>
      <c r="B1221" s="2" t="s">
        <v>2289</v>
      </c>
      <c r="C1221" s="2" t="s">
        <v>272</v>
      </c>
      <c r="D1221" s="2">
        <v>1829.0</v>
      </c>
      <c r="E1221" s="5">
        <v>46236.0</v>
      </c>
      <c r="F1221" s="5">
        <v>46144.0</v>
      </c>
      <c r="G1221" s="8">
        <v>1176479.0</v>
      </c>
      <c r="H1221" s="8">
        <v>976051.0</v>
      </c>
      <c r="I1221" s="2" t="s">
        <v>2290</v>
      </c>
    </row>
    <row r="1222" ht="22.5" customHeight="1">
      <c r="A1222" s="2">
        <v>1221.0</v>
      </c>
      <c r="B1222" s="2" t="s">
        <v>2291</v>
      </c>
      <c r="C1222" s="2" t="s">
        <v>276</v>
      </c>
      <c r="D1222" s="2">
        <v>13739.0</v>
      </c>
      <c r="E1222" s="5">
        <v>46057.0</v>
      </c>
      <c r="F1222" s="5">
        <v>46115.0</v>
      </c>
      <c r="G1222" s="2" t="s">
        <v>2292</v>
      </c>
      <c r="H1222" s="2" t="s">
        <v>2293</v>
      </c>
      <c r="I1222" s="2" t="s">
        <v>2294</v>
      </c>
    </row>
    <row r="1223" ht="22.5" customHeight="1">
      <c r="A1223" s="2">
        <v>1222.0</v>
      </c>
      <c r="B1223" s="2" t="s">
        <v>2291</v>
      </c>
      <c r="C1223" s="2" t="s">
        <v>317</v>
      </c>
      <c r="D1223" s="2">
        <v>8877.0</v>
      </c>
      <c r="E1223" s="5">
        <v>46148.0</v>
      </c>
      <c r="F1223" s="5">
        <v>46027.0</v>
      </c>
      <c r="G1223" s="2" t="s">
        <v>2295</v>
      </c>
      <c r="H1223" s="2" t="s">
        <v>2296</v>
      </c>
      <c r="I1223" s="2" t="s">
        <v>569</v>
      </c>
    </row>
    <row r="1224" ht="22.5" customHeight="1">
      <c r="A1224" s="2">
        <v>1223.0</v>
      </c>
      <c r="B1224" s="2" t="s">
        <v>2291</v>
      </c>
      <c r="C1224" s="2" t="s">
        <v>317</v>
      </c>
      <c r="D1224" s="2">
        <v>8878.0</v>
      </c>
      <c r="E1224" s="5">
        <v>46148.0</v>
      </c>
      <c r="F1224" s="5">
        <v>46027.0</v>
      </c>
      <c r="G1224" s="2">
        <v>57707.0</v>
      </c>
      <c r="H1224" s="2" t="s">
        <v>2000</v>
      </c>
      <c r="I1224" s="2" t="s">
        <v>2297</v>
      </c>
    </row>
    <row r="1225" ht="22.5" customHeight="1">
      <c r="A1225" s="2">
        <v>1224.0</v>
      </c>
      <c r="B1225" s="2" t="s">
        <v>2298</v>
      </c>
      <c r="C1225" s="2" t="s">
        <v>278</v>
      </c>
      <c r="D1225" s="2">
        <v>10532.0</v>
      </c>
      <c r="E1225" s="5">
        <v>46115.0</v>
      </c>
      <c r="F1225" s="2" t="s">
        <v>279</v>
      </c>
      <c r="G1225" s="2" t="s">
        <v>2299</v>
      </c>
      <c r="H1225" s="2" t="s">
        <v>2300</v>
      </c>
      <c r="I1225" s="8">
        <v>1421678.0</v>
      </c>
    </row>
    <row r="1226" ht="22.5" customHeight="1">
      <c r="A1226" s="2">
        <v>1225.0</v>
      </c>
      <c r="B1226" s="2" t="s">
        <v>2298</v>
      </c>
      <c r="C1226" s="2" t="s">
        <v>269</v>
      </c>
      <c r="D1226" s="2">
        <v>6886.0</v>
      </c>
      <c r="E1226" s="5">
        <v>46058.0</v>
      </c>
      <c r="F1226" s="6">
        <v>46146.0</v>
      </c>
      <c r="G1226" s="2" t="s">
        <v>2301</v>
      </c>
      <c r="H1226" s="2" t="s">
        <v>2302</v>
      </c>
      <c r="I1226" s="8">
        <v>2198274.0</v>
      </c>
    </row>
    <row r="1227" ht="22.5" customHeight="1">
      <c r="A1227" s="2">
        <v>1226.0</v>
      </c>
      <c r="B1227" s="2" t="s">
        <v>2303</v>
      </c>
      <c r="C1227" s="2" t="s">
        <v>317</v>
      </c>
      <c r="D1227" s="2">
        <v>1003.0</v>
      </c>
      <c r="E1227" s="5">
        <v>46148.0</v>
      </c>
      <c r="F1227" s="5">
        <v>46027.0</v>
      </c>
      <c r="G1227" s="8">
        <v>1687177.0</v>
      </c>
      <c r="H1227" s="8">
        <v>1174315.0</v>
      </c>
      <c r="I1227" s="8" t="s">
        <v>2304</v>
      </c>
    </row>
    <row r="1228" ht="22.5" customHeight="1">
      <c r="A1228" s="2">
        <v>1227.0</v>
      </c>
      <c r="B1228" s="2" t="s">
        <v>2305</v>
      </c>
      <c r="C1228" s="2" t="s">
        <v>276</v>
      </c>
      <c r="D1228" s="2">
        <v>1259.0</v>
      </c>
      <c r="E1228" s="5">
        <v>46057.0</v>
      </c>
      <c r="F1228" s="5">
        <v>46115.0</v>
      </c>
      <c r="G1228" s="8">
        <v>1237291.0</v>
      </c>
      <c r="H1228" s="8">
        <v>869431.0</v>
      </c>
      <c r="I1228" s="8" t="s">
        <v>2306</v>
      </c>
    </row>
    <row r="1229" ht="22.5" customHeight="1">
      <c r="A1229" s="2">
        <v>1228.0</v>
      </c>
      <c r="B1229" s="2" t="s">
        <v>2305</v>
      </c>
      <c r="C1229" s="2" t="s">
        <v>272</v>
      </c>
      <c r="D1229" s="2">
        <v>1890.0</v>
      </c>
      <c r="E1229" s="5">
        <v>46236.0</v>
      </c>
      <c r="F1229" s="5">
        <v>46144.0</v>
      </c>
      <c r="G1229" s="2">
        <v>5292.0</v>
      </c>
      <c r="H1229" s="7">
        <v>4725.0</v>
      </c>
      <c r="I1229" s="2">
        <v>567.0</v>
      </c>
    </row>
    <row r="1230" ht="22.5" customHeight="1">
      <c r="A1230" s="2">
        <v>1229.0</v>
      </c>
      <c r="B1230" s="2" t="s">
        <v>2307</v>
      </c>
      <c r="C1230" s="2" t="s">
        <v>278</v>
      </c>
      <c r="D1230" s="2">
        <v>1312.0</v>
      </c>
      <c r="E1230" s="5">
        <v>46115.0</v>
      </c>
      <c r="F1230" s="2" t="s">
        <v>279</v>
      </c>
      <c r="G1230" s="8">
        <v>935236.0</v>
      </c>
      <c r="H1230" s="8">
        <v>671714.0</v>
      </c>
      <c r="I1230" s="2" t="s">
        <v>2308</v>
      </c>
    </row>
    <row r="1231" ht="22.5" customHeight="1">
      <c r="A1231" s="2">
        <v>1230.0</v>
      </c>
      <c r="B1231" s="2" t="s">
        <v>2307</v>
      </c>
      <c r="C1231" s="2" t="s">
        <v>278</v>
      </c>
      <c r="D1231" s="2">
        <v>1312.0</v>
      </c>
      <c r="E1231" s="5">
        <v>46115.0</v>
      </c>
      <c r="F1231" s="2" t="s">
        <v>279</v>
      </c>
      <c r="G1231" s="8">
        <v>935236.0</v>
      </c>
      <c r="H1231" s="8">
        <v>671714.0</v>
      </c>
      <c r="I1231" s="2" t="s">
        <v>2308</v>
      </c>
    </row>
    <row r="1232" ht="22.5" customHeight="1">
      <c r="A1232" s="2">
        <v>1231.0</v>
      </c>
      <c r="B1232" s="2" t="s">
        <v>2307</v>
      </c>
      <c r="C1232" s="2" t="s">
        <v>269</v>
      </c>
      <c r="D1232" s="2">
        <v>858.0</v>
      </c>
      <c r="E1232" s="5">
        <v>46058.0</v>
      </c>
      <c r="F1232" s="6">
        <v>46146.0</v>
      </c>
      <c r="G1232" s="8">
        <v>935540.0</v>
      </c>
      <c r="H1232" s="8">
        <v>575137.0</v>
      </c>
      <c r="I1232" s="2" t="s">
        <v>2309</v>
      </c>
    </row>
    <row r="1233" ht="22.5" customHeight="1">
      <c r="A1233" s="2">
        <v>1232.0</v>
      </c>
      <c r="B1233" s="2" t="s">
        <v>2310</v>
      </c>
      <c r="C1233" s="2" t="s">
        <v>276</v>
      </c>
      <c r="D1233" s="2">
        <v>3014.0</v>
      </c>
      <c r="E1233" s="5">
        <v>46057.0</v>
      </c>
      <c r="F1233" s="5">
        <v>46115.0</v>
      </c>
      <c r="G1233" s="2" t="s">
        <v>2311</v>
      </c>
      <c r="H1233" s="2" t="s">
        <v>2312</v>
      </c>
      <c r="I1233" s="8">
        <v>186672.0</v>
      </c>
    </row>
    <row r="1234" ht="22.5" customHeight="1">
      <c r="A1234" s="2">
        <v>1233.0</v>
      </c>
      <c r="B1234" s="2" t="s">
        <v>2313</v>
      </c>
      <c r="C1234" s="2" t="s">
        <v>276</v>
      </c>
      <c r="D1234" s="2">
        <v>986.0</v>
      </c>
      <c r="E1234" s="5">
        <v>46057.0</v>
      </c>
      <c r="F1234" s="5">
        <v>46115.0</v>
      </c>
      <c r="G1234" s="8">
        <v>818542.0</v>
      </c>
      <c r="H1234" s="8">
        <v>530425.0</v>
      </c>
      <c r="I1234" s="2" t="s">
        <v>742</v>
      </c>
    </row>
    <row r="1235" ht="22.5" customHeight="1">
      <c r="A1235" s="2">
        <v>1234.0</v>
      </c>
      <c r="B1235" s="2" t="s">
        <v>2313</v>
      </c>
      <c r="C1235" s="2" t="s">
        <v>276</v>
      </c>
      <c r="D1235" s="2">
        <v>985.0</v>
      </c>
      <c r="E1235" s="5">
        <v>46057.0</v>
      </c>
      <c r="F1235" s="5">
        <v>46115.0</v>
      </c>
      <c r="G1235" s="2">
        <v>4137.0</v>
      </c>
      <c r="H1235" s="7">
        <v>3349.0</v>
      </c>
      <c r="I1235" s="2">
        <v>788.0</v>
      </c>
    </row>
    <row r="1236" ht="22.5" customHeight="1">
      <c r="A1236" s="2">
        <v>1235.0</v>
      </c>
      <c r="B1236" s="2" t="s">
        <v>2313</v>
      </c>
      <c r="C1236" s="2" t="s">
        <v>272</v>
      </c>
      <c r="D1236" s="2">
        <v>1478.0</v>
      </c>
      <c r="E1236" s="5">
        <v>46236.0</v>
      </c>
      <c r="F1236" s="5">
        <v>46144.0</v>
      </c>
      <c r="G1236" s="8">
        <v>817505.0</v>
      </c>
      <c r="H1236" s="7">
        <v>3695.0</v>
      </c>
      <c r="I1236" s="2" t="s">
        <v>2314</v>
      </c>
    </row>
    <row r="1237" ht="22.5" customHeight="1">
      <c r="A1237" s="2">
        <v>1236.0</v>
      </c>
      <c r="B1237" s="2" t="s">
        <v>2315</v>
      </c>
      <c r="C1237" s="2" t="s">
        <v>276</v>
      </c>
      <c r="D1237" s="2">
        <v>4731.0</v>
      </c>
      <c r="E1237" s="5">
        <v>46057.0</v>
      </c>
      <c r="F1237" s="5">
        <v>46115.0</v>
      </c>
      <c r="G1237" s="2" t="s">
        <v>2316</v>
      </c>
      <c r="H1237" s="2" t="s">
        <v>2317</v>
      </c>
      <c r="I1237" s="8">
        <v>688332.0</v>
      </c>
    </row>
    <row r="1238" ht="22.5" customHeight="1">
      <c r="A1238" s="2">
        <v>1237.0</v>
      </c>
      <c r="B1238" s="2" t="s">
        <v>2318</v>
      </c>
      <c r="C1238" s="2" t="s">
        <v>272</v>
      </c>
      <c r="D1238" s="2">
        <v>1636.0</v>
      </c>
      <c r="E1238" s="5">
        <v>46236.0</v>
      </c>
      <c r="F1238" s="5">
        <v>46144.0</v>
      </c>
      <c r="G1238" s="8">
        <v>979065.0</v>
      </c>
      <c r="H1238" s="7">
        <v>4090.0</v>
      </c>
      <c r="I1238" s="2" t="s">
        <v>2319</v>
      </c>
    </row>
    <row r="1239" ht="22.5" customHeight="1">
      <c r="A1239" s="2">
        <v>1238.0</v>
      </c>
      <c r="B1239" s="2" t="s">
        <v>2318</v>
      </c>
      <c r="C1239" s="2" t="s">
        <v>272</v>
      </c>
      <c r="D1239" s="2">
        <v>1635.0</v>
      </c>
      <c r="E1239" s="5">
        <v>46236.0</v>
      </c>
      <c r="F1239" s="5">
        <v>46144.0</v>
      </c>
      <c r="G1239" s="2">
        <v>4578.0</v>
      </c>
      <c r="H1239" s="8">
        <v>798908.0</v>
      </c>
      <c r="I1239" s="2" t="s">
        <v>2320</v>
      </c>
    </row>
    <row r="1240" ht="22.5" customHeight="1">
      <c r="A1240" s="2">
        <v>1239.0</v>
      </c>
      <c r="B1240" s="2" t="s">
        <v>2318</v>
      </c>
      <c r="C1240" s="2" t="s">
        <v>272</v>
      </c>
      <c r="D1240" s="2">
        <v>1636.0</v>
      </c>
      <c r="E1240" s="5">
        <v>46236.0</v>
      </c>
      <c r="F1240" s="5">
        <v>46144.0</v>
      </c>
      <c r="G1240" s="8">
        <v>979065.0</v>
      </c>
      <c r="H1240" s="7">
        <v>4090.0</v>
      </c>
      <c r="I1240" s="2" t="s">
        <v>2319</v>
      </c>
    </row>
    <row r="1241" ht="22.5" customHeight="1">
      <c r="A1241" s="2">
        <v>1240.0</v>
      </c>
      <c r="B1241" s="2" t="s">
        <v>2321</v>
      </c>
      <c r="C1241" s="2" t="s">
        <v>287</v>
      </c>
      <c r="D1241" s="2">
        <v>967.0</v>
      </c>
      <c r="E1241" s="5">
        <v>46152.0</v>
      </c>
      <c r="F1241" s="5">
        <v>46241.0</v>
      </c>
      <c r="G1241" s="2" t="s">
        <v>2322</v>
      </c>
      <c r="H1241" s="8">
        <v>2060851.0</v>
      </c>
      <c r="I1241" s="8">
        <v>259567.0</v>
      </c>
    </row>
    <row r="1242" ht="22.5" customHeight="1">
      <c r="A1242" s="2">
        <v>1241.0</v>
      </c>
      <c r="B1242" s="2" t="s">
        <v>2323</v>
      </c>
      <c r="C1242" s="2" t="s">
        <v>269</v>
      </c>
      <c r="D1242" s="2">
        <v>33236.0</v>
      </c>
      <c r="E1242" s="5">
        <v>46058.0</v>
      </c>
      <c r="F1242" s="6">
        <v>46146.0</v>
      </c>
      <c r="G1242" s="2" t="s">
        <v>2324</v>
      </c>
      <c r="H1242" s="2" t="s">
        <v>2325</v>
      </c>
      <c r="I1242" s="2" t="s">
        <v>2326</v>
      </c>
    </row>
    <row r="1243" ht="22.5" customHeight="1">
      <c r="A1243" s="2">
        <v>1242.0</v>
      </c>
      <c r="B1243" s="2" t="s">
        <v>2327</v>
      </c>
      <c r="C1243" s="2" t="s">
        <v>272</v>
      </c>
      <c r="D1243" s="2">
        <v>5470.0</v>
      </c>
      <c r="E1243" s="5">
        <v>46236.0</v>
      </c>
      <c r="F1243" s="5">
        <v>46144.0</v>
      </c>
      <c r="G1243" s="2">
        <v>15316.0</v>
      </c>
      <c r="H1243" s="7">
        <v>13675.0</v>
      </c>
      <c r="I1243" s="2">
        <v>1641.0</v>
      </c>
    </row>
    <row r="1244" ht="22.5" customHeight="1">
      <c r="A1244" s="2">
        <v>1243.0</v>
      </c>
      <c r="B1244" s="2" t="s">
        <v>2328</v>
      </c>
      <c r="C1244" s="2" t="s">
        <v>272</v>
      </c>
      <c r="D1244" s="2">
        <v>9008.0</v>
      </c>
      <c r="E1244" s="5">
        <v>46236.0</v>
      </c>
      <c r="F1244" s="5">
        <v>46144.0</v>
      </c>
      <c r="G1244" s="2" t="s">
        <v>2329</v>
      </c>
      <c r="H1244" s="7">
        <v>22520.0</v>
      </c>
      <c r="I1244" s="8">
        <v>293016.0</v>
      </c>
    </row>
    <row r="1245" ht="22.5" customHeight="1">
      <c r="A1245" s="2">
        <v>1244.0</v>
      </c>
      <c r="B1245" s="2" t="s">
        <v>2328</v>
      </c>
      <c r="C1245" s="2" t="s">
        <v>317</v>
      </c>
      <c r="D1245" s="2">
        <v>3881.0</v>
      </c>
      <c r="E1245" s="5">
        <v>46148.0</v>
      </c>
      <c r="F1245" s="5">
        <v>46027.0</v>
      </c>
      <c r="G1245" s="2" t="s">
        <v>2330</v>
      </c>
      <c r="H1245" s="2" t="s">
        <v>2331</v>
      </c>
      <c r="I1245" s="8">
        <v>1290494.0</v>
      </c>
    </row>
    <row r="1246" ht="22.5" customHeight="1">
      <c r="A1246" s="2">
        <v>1245.0</v>
      </c>
      <c r="B1246" s="2" t="s">
        <v>2332</v>
      </c>
      <c r="C1246" s="2" t="s">
        <v>311</v>
      </c>
      <c r="D1246" s="2">
        <v>2795.0</v>
      </c>
      <c r="E1246" s="5">
        <v>46057.0</v>
      </c>
      <c r="F1246" s="5">
        <v>46084.0</v>
      </c>
      <c r="G1246" s="2">
        <v>11739.0</v>
      </c>
      <c r="H1246" s="8">
        <v>2674793.0</v>
      </c>
      <c r="I1246" s="8">
        <v>224746.0</v>
      </c>
    </row>
    <row r="1247" ht="22.5" customHeight="1">
      <c r="A1247" s="2">
        <v>1246.0</v>
      </c>
      <c r="B1247" s="2" t="s">
        <v>2332</v>
      </c>
      <c r="C1247" s="2" t="s">
        <v>311</v>
      </c>
      <c r="D1247" s="2">
        <v>2795.0</v>
      </c>
      <c r="E1247" s="5">
        <v>46057.0</v>
      </c>
      <c r="F1247" s="5">
        <v>46084.0</v>
      </c>
      <c r="G1247" s="2">
        <v>11739.0</v>
      </c>
      <c r="H1247" s="8">
        <v>2674793.0</v>
      </c>
      <c r="I1247" s="8">
        <v>224746.0</v>
      </c>
    </row>
    <row r="1248" ht="22.5" customHeight="1">
      <c r="A1248" s="2">
        <v>1247.0</v>
      </c>
      <c r="B1248" s="2" t="s">
        <v>2333</v>
      </c>
      <c r="C1248" s="2" t="s">
        <v>272</v>
      </c>
      <c r="D1248" s="2">
        <v>10227.0</v>
      </c>
      <c r="E1248" s="5">
        <v>46236.0</v>
      </c>
      <c r="F1248" s="5">
        <v>46144.0</v>
      </c>
      <c r="G1248" s="2" t="s">
        <v>2334</v>
      </c>
      <c r="H1248" s="2" t="s">
        <v>2335</v>
      </c>
      <c r="I1248" s="8">
        <v>426605.0</v>
      </c>
    </row>
    <row r="1249" ht="22.5" customHeight="1">
      <c r="A1249" s="2">
        <v>1248.0</v>
      </c>
      <c r="B1249" s="2" t="s">
        <v>2336</v>
      </c>
      <c r="C1249" s="2" t="s">
        <v>272</v>
      </c>
      <c r="D1249" s="2">
        <v>3972.0</v>
      </c>
      <c r="E1249" s="5">
        <v>46236.0</v>
      </c>
      <c r="F1249" s="5">
        <v>46144.0</v>
      </c>
      <c r="G1249" s="2" t="s">
        <v>2337</v>
      </c>
      <c r="H1249" s="7">
        <v>9930.0</v>
      </c>
      <c r="I1249" s="8" t="s">
        <v>2338</v>
      </c>
    </row>
    <row r="1250" ht="22.5" customHeight="1">
      <c r="A1250" s="2">
        <v>1249.0</v>
      </c>
      <c r="B1250" s="2" t="s">
        <v>2336</v>
      </c>
      <c r="C1250" s="2" t="s">
        <v>272</v>
      </c>
      <c r="D1250" s="2">
        <v>3973.0</v>
      </c>
      <c r="E1250" s="5">
        <v>46236.0</v>
      </c>
      <c r="F1250" s="5">
        <v>46144.0</v>
      </c>
      <c r="G1250" s="2" t="s">
        <v>2339</v>
      </c>
      <c r="H1250" s="8">
        <v>2933750.0</v>
      </c>
      <c r="I1250" s="8" t="s">
        <v>2340</v>
      </c>
    </row>
    <row r="1251" ht="22.5" customHeight="1">
      <c r="A1251" s="2">
        <v>1250.0</v>
      </c>
      <c r="B1251" s="2" t="s">
        <v>2341</v>
      </c>
      <c r="C1251" s="2" t="s">
        <v>317</v>
      </c>
      <c r="D1251" s="2">
        <v>12530.0</v>
      </c>
      <c r="E1251" s="5">
        <v>46148.0</v>
      </c>
      <c r="F1251" s="5">
        <v>46027.0</v>
      </c>
      <c r="G1251" s="2">
        <v>81445.0</v>
      </c>
      <c r="H1251" s="7">
        <v>63903.0</v>
      </c>
      <c r="I1251" s="2">
        <v>17542.0</v>
      </c>
    </row>
    <row r="1252" ht="22.5" customHeight="1">
      <c r="A1252" s="2">
        <v>1251.0</v>
      </c>
      <c r="B1252" s="2" t="s">
        <v>2342</v>
      </c>
      <c r="C1252" s="2" t="s">
        <v>276</v>
      </c>
      <c r="D1252" s="2">
        <v>5964.0</v>
      </c>
      <c r="E1252" s="5">
        <v>46057.0</v>
      </c>
      <c r="F1252" s="5">
        <v>46115.0</v>
      </c>
      <c r="G1252" s="2" t="s">
        <v>2343</v>
      </c>
      <c r="H1252" s="2" t="s">
        <v>2344</v>
      </c>
      <c r="I1252" s="8">
        <v>1048644.0</v>
      </c>
    </row>
    <row r="1253" ht="22.5" customHeight="1">
      <c r="A1253" s="2">
        <v>1252.0</v>
      </c>
      <c r="B1253" s="2" t="s">
        <v>2342</v>
      </c>
      <c r="C1253" s="2" t="s">
        <v>276</v>
      </c>
      <c r="D1253" s="2">
        <v>5965.0</v>
      </c>
      <c r="E1253" s="5">
        <v>46057.0</v>
      </c>
      <c r="F1253" s="5">
        <v>46115.0</v>
      </c>
      <c r="G1253" s="2">
        <v>25053.0</v>
      </c>
      <c r="H1253" s="7">
        <v>20281.0</v>
      </c>
      <c r="I1253" s="2">
        <v>4772.0</v>
      </c>
    </row>
    <row r="1254" ht="22.5" customHeight="1">
      <c r="A1254" s="2">
        <v>1253.0</v>
      </c>
      <c r="B1254" s="2" t="s">
        <v>2342</v>
      </c>
      <c r="C1254" s="2" t="s">
        <v>272</v>
      </c>
      <c r="D1254" s="2">
        <v>8947.0</v>
      </c>
      <c r="E1254" s="5">
        <v>46236.0</v>
      </c>
      <c r="F1254" s="5">
        <v>46144.0</v>
      </c>
      <c r="G1254" s="2" t="s">
        <v>2345</v>
      </c>
      <c r="H1254" s="2" t="s">
        <v>2346</v>
      </c>
      <c r="I1254" s="8">
        <v>286352.0</v>
      </c>
    </row>
    <row r="1255" ht="22.5" customHeight="1">
      <c r="A1255" s="2">
        <v>1254.0</v>
      </c>
      <c r="B1255" s="2" t="s">
        <v>2347</v>
      </c>
      <c r="C1255" s="2" t="s">
        <v>272</v>
      </c>
      <c r="D1255" s="2">
        <v>3263.0</v>
      </c>
      <c r="E1255" s="5">
        <v>46236.0</v>
      </c>
      <c r="F1255" s="5">
        <v>46144.0</v>
      </c>
      <c r="G1255" s="8">
        <v>2642987.0</v>
      </c>
      <c r="H1255" s="8">
        <v>2285445.0</v>
      </c>
      <c r="I1255" s="2" t="s">
        <v>2348</v>
      </c>
    </row>
    <row r="1256" ht="22.5" customHeight="1">
      <c r="A1256" s="2">
        <v>1255.0</v>
      </c>
      <c r="B1256" s="2" t="s">
        <v>2347</v>
      </c>
      <c r="C1256" s="2" t="s">
        <v>276</v>
      </c>
      <c r="D1256" s="2">
        <v>2175.0</v>
      </c>
      <c r="E1256" s="5">
        <v>46057.0</v>
      </c>
      <c r="F1256" s="5">
        <v>46115.0</v>
      </c>
      <c r="G1256" s="2">
        <v>9135.0</v>
      </c>
      <c r="H1256" s="7">
        <v>7395.0</v>
      </c>
      <c r="I1256" s="2">
        <v>1740.0</v>
      </c>
    </row>
    <row r="1257" ht="22.5" customHeight="1">
      <c r="A1257" s="2">
        <v>1256.0</v>
      </c>
      <c r="B1257" s="2" t="s">
        <v>2347</v>
      </c>
      <c r="C1257" s="2" t="s">
        <v>276</v>
      </c>
      <c r="D1257" s="2">
        <v>2176.0</v>
      </c>
      <c r="E1257" s="5">
        <v>46057.0</v>
      </c>
      <c r="F1257" s="5">
        <v>46115.0</v>
      </c>
      <c r="G1257" s="8">
        <v>2644023.0</v>
      </c>
      <c r="H1257" s="8">
        <v>2008196.0</v>
      </c>
      <c r="I1257" s="8" t="s">
        <v>2349</v>
      </c>
    </row>
    <row r="1258" ht="22.5" customHeight="1">
      <c r="A1258" s="2">
        <v>1257.0</v>
      </c>
      <c r="B1258" s="2" t="s">
        <v>2350</v>
      </c>
      <c r="C1258" s="2" t="s">
        <v>269</v>
      </c>
      <c r="D1258" s="2">
        <v>847.0</v>
      </c>
      <c r="E1258" s="5">
        <v>46058.0</v>
      </c>
      <c r="F1258" s="6">
        <v>46146.0</v>
      </c>
      <c r="G1258" s="8">
        <v>914660.0</v>
      </c>
      <c r="H1258" s="2" t="s">
        <v>2351</v>
      </c>
      <c r="I1258" s="2" t="s">
        <v>2352</v>
      </c>
    </row>
    <row r="1259" ht="22.5" customHeight="1">
      <c r="A1259" s="2">
        <v>1258.0</v>
      </c>
      <c r="B1259" s="2" t="s">
        <v>2350</v>
      </c>
      <c r="C1259" s="2" t="s">
        <v>278</v>
      </c>
      <c r="D1259" s="2">
        <v>1295.0</v>
      </c>
      <c r="E1259" s="5">
        <v>46115.0</v>
      </c>
      <c r="F1259" s="2" t="s">
        <v>279</v>
      </c>
      <c r="G1259" s="2">
        <v>4403.0</v>
      </c>
      <c r="H1259" s="2" t="s">
        <v>2353</v>
      </c>
      <c r="I1259" s="2" t="s">
        <v>2354</v>
      </c>
    </row>
    <row r="1260" ht="22.5" customHeight="1">
      <c r="A1260" s="2">
        <v>1259.0</v>
      </c>
      <c r="B1260" s="2" t="s">
        <v>2350</v>
      </c>
      <c r="C1260" s="2" t="s">
        <v>278</v>
      </c>
      <c r="D1260" s="2">
        <v>1295.0</v>
      </c>
      <c r="E1260" s="5">
        <v>46115.0</v>
      </c>
      <c r="F1260" s="2" t="s">
        <v>279</v>
      </c>
      <c r="G1260" s="2">
        <v>4403.0</v>
      </c>
      <c r="H1260" s="2" t="s">
        <v>2353</v>
      </c>
      <c r="I1260" s="2" t="s">
        <v>2354</v>
      </c>
    </row>
    <row r="1261" ht="22.5" customHeight="1">
      <c r="A1261" s="2">
        <v>1260.0</v>
      </c>
      <c r="B1261" s="2" t="s">
        <v>2355</v>
      </c>
      <c r="C1261" s="2" t="s">
        <v>272</v>
      </c>
      <c r="D1261" s="2">
        <v>1618.0</v>
      </c>
      <c r="E1261" s="5">
        <v>46236.0</v>
      </c>
      <c r="F1261" s="5">
        <v>46144.0</v>
      </c>
      <c r="G1261" s="8">
        <v>960680.0</v>
      </c>
      <c r="H1261" s="7">
        <v>4045.0</v>
      </c>
      <c r="I1261" s="2" t="s">
        <v>2356</v>
      </c>
    </row>
    <row r="1262" ht="22.5" customHeight="1">
      <c r="A1262" s="2">
        <v>1261.0</v>
      </c>
      <c r="B1262" s="2" t="s">
        <v>2355</v>
      </c>
      <c r="C1262" s="2" t="s">
        <v>272</v>
      </c>
      <c r="D1262" s="2">
        <v>1619.0</v>
      </c>
      <c r="E1262" s="5">
        <v>46236.0</v>
      </c>
      <c r="F1262" s="5">
        <v>46144.0</v>
      </c>
      <c r="G1262" s="8">
        <v>961717.0</v>
      </c>
      <c r="H1262" s="8">
        <v>784298.0</v>
      </c>
      <c r="I1262" s="2" t="s">
        <v>2357</v>
      </c>
    </row>
    <row r="1263" ht="22.5" customHeight="1">
      <c r="A1263" s="2">
        <v>1262.0</v>
      </c>
      <c r="B1263" s="2" t="s">
        <v>2358</v>
      </c>
      <c r="C1263" s="2" t="s">
        <v>311</v>
      </c>
      <c r="D1263" s="2">
        <v>2125.0</v>
      </c>
      <c r="E1263" s="5">
        <v>46057.0</v>
      </c>
      <c r="F1263" s="5">
        <v>46084.0</v>
      </c>
      <c r="G1263" s="2">
        <v>8925.0</v>
      </c>
      <c r="H1263" s="8">
        <v>1867242.0</v>
      </c>
      <c r="I1263" s="8">
        <v>4505.0</v>
      </c>
    </row>
    <row r="1264" ht="22.5" customHeight="1">
      <c r="A1264" s="2">
        <v>1263.0</v>
      </c>
      <c r="B1264" s="2" t="s">
        <v>2358</v>
      </c>
      <c r="C1264" s="2" t="s">
        <v>311</v>
      </c>
      <c r="D1264" s="2">
        <v>2125.0</v>
      </c>
      <c r="E1264" s="5">
        <v>46057.0</v>
      </c>
      <c r="F1264" s="5">
        <v>46084.0</v>
      </c>
      <c r="G1264" s="2">
        <v>8925.0</v>
      </c>
      <c r="H1264" s="8">
        <v>1867242.0</v>
      </c>
      <c r="I1264" s="8">
        <v>4505.0</v>
      </c>
    </row>
    <row r="1265" ht="22.5" customHeight="1">
      <c r="A1265" s="2">
        <v>1264.0</v>
      </c>
      <c r="B1265" s="2" t="s">
        <v>2358</v>
      </c>
      <c r="C1265" s="2" t="s">
        <v>311</v>
      </c>
      <c r="D1265" s="2">
        <v>2125.0</v>
      </c>
      <c r="E1265" s="5">
        <v>46057.0</v>
      </c>
      <c r="F1265" s="5">
        <v>46084.0</v>
      </c>
      <c r="G1265" s="2">
        <v>8925.0</v>
      </c>
      <c r="H1265" s="8">
        <v>1867242.0</v>
      </c>
      <c r="I1265" s="8">
        <v>4505.0</v>
      </c>
    </row>
    <row r="1266" ht="22.5" customHeight="1">
      <c r="A1266" s="2">
        <v>1265.0</v>
      </c>
      <c r="B1266" s="2" t="s">
        <v>2359</v>
      </c>
      <c r="C1266" s="2" t="s">
        <v>278</v>
      </c>
      <c r="D1266" s="2">
        <v>1684.0</v>
      </c>
      <c r="E1266" s="5">
        <v>46115.0</v>
      </c>
      <c r="F1266" s="2" t="s">
        <v>279</v>
      </c>
      <c r="G1266" s="8">
        <v>1397206.0</v>
      </c>
      <c r="H1266" s="8">
        <v>1058930.0</v>
      </c>
      <c r="I1266" s="2" t="s">
        <v>1703</v>
      </c>
    </row>
    <row r="1267" ht="22.5" customHeight="1">
      <c r="A1267" s="2">
        <v>1266.0</v>
      </c>
      <c r="B1267" s="2" t="s">
        <v>2359</v>
      </c>
      <c r="C1267" s="2" t="s">
        <v>270</v>
      </c>
      <c r="D1267" s="2">
        <v>698.0</v>
      </c>
      <c r="E1267" s="5">
        <v>46061.0</v>
      </c>
      <c r="F1267" s="5">
        <v>46059.0</v>
      </c>
      <c r="G1267" s="8">
        <v>1396475.0</v>
      </c>
      <c r="H1267" s="8">
        <v>886596.0</v>
      </c>
      <c r="I1267" s="2">
        <v>1396.0</v>
      </c>
    </row>
    <row r="1268" ht="22.5" customHeight="1">
      <c r="A1268" s="2">
        <v>1267.0</v>
      </c>
      <c r="B1268" s="2" t="s">
        <v>2359</v>
      </c>
      <c r="C1268" s="2" t="s">
        <v>278</v>
      </c>
      <c r="D1268" s="2">
        <v>1686.0</v>
      </c>
      <c r="E1268" s="5">
        <v>46115.0</v>
      </c>
      <c r="F1268" s="2" t="s">
        <v>279</v>
      </c>
      <c r="G1268" s="8">
        <v>1399702.0</v>
      </c>
      <c r="H1268" s="8">
        <v>1061032.0</v>
      </c>
      <c r="I1268" s="2" t="s">
        <v>2360</v>
      </c>
    </row>
    <row r="1269" ht="22.5" customHeight="1">
      <c r="A1269" s="2">
        <v>1268.0</v>
      </c>
      <c r="B1269" s="2" t="s">
        <v>2361</v>
      </c>
      <c r="C1269" s="2" t="s">
        <v>317</v>
      </c>
      <c r="D1269" s="2">
        <v>451.0</v>
      </c>
      <c r="E1269" s="5">
        <v>46148.0</v>
      </c>
      <c r="F1269" s="5">
        <v>46027.0</v>
      </c>
      <c r="G1269" s="8">
        <v>376687.0</v>
      </c>
      <c r="H1269" s="8">
        <v>146099.0</v>
      </c>
      <c r="I1269" s="2" t="s">
        <v>2362</v>
      </c>
    </row>
    <row r="1270" ht="22.5" customHeight="1">
      <c r="A1270" s="2">
        <v>1269.0</v>
      </c>
      <c r="B1270" s="2" t="s">
        <v>2361</v>
      </c>
      <c r="C1270" s="2" t="s">
        <v>272</v>
      </c>
      <c r="D1270" s="2">
        <v>1048.0</v>
      </c>
      <c r="E1270" s="5">
        <v>46236.0</v>
      </c>
      <c r="F1270" s="5">
        <v>46144.0</v>
      </c>
      <c r="G1270" s="8">
        <v>377753.0</v>
      </c>
      <c r="H1270" s="7">
        <v>2620.0</v>
      </c>
      <c r="I1270" s="2" t="s">
        <v>2024</v>
      </c>
    </row>
    <row r="1271" ht="22.5" customHeight="1">
      <c r="A1271" s="2">
        <v>1270.0</v>
      </c>
      <c r="B1271" s="2" t="s">
        <v>2363</v>
      </c>
      <c r="C1271" s="2" t="s">
        <v>317</v>
      </c>
      <c r="D1271" s="2">
        <v>3900.0</v>
      </c>
      <c r="E1271" s="5">
        <v>46148.0</v>
      </c>
      <c r="F1271" s="5">
        <v>46027.0</v>
      </c>
      <c r="G1271" s="2">
        <v>25350.0</v>
      </c>
      <c r="H1271" s="7">
        <v>19890.0</v>
      </c>
      <c r="I1271" s="2">
        <v>5460.0</v>
      </c>
    </row>
    <row r="1272" ht="22.5" customHeight="1">
      <c r="A1272" s="2">
        <v>1271.0</v>
      </c>
      <c r="B1272" s="2" t="s">
        <v>2364</v>
      </c>
      <c r="C1272" s="2" t="s">
        <v>317</v>
      </c>
      <c r="D1272" s="2">
        <v>4197.0</v>
      </c>
      <c r="E1272" s="5">
        <v>46148.0</v>
      </c>
      <c r="F1272" s="5">
        <v>46027.0</v>
      </c>
      <c r="G1272" s="2" t="s">
        <v>2365</v>
      </c>
      <c r="H1272" s="2" t="s">
        <v>2366</v>
      </c>
      <c r="I1272" s="8">
        <v>1452053.0</v>
      </c>
    </row>
    <row r="1273" ht="22.5" customHeight="1">
      <c r="A1273" s="2">
        <v>1272.0</v>
      </c>
      <c r="B1273" s="2" t="s">
        <v>2367</v>
      </c>
      <c r="C1273" s="2" t="s">
        <v>272</v>
      </c>
      <c r="D1273" s="2">
        <v>4635.0</v>
      </c>
      <c r="E1273" s="5">
        <v>46236.0</v>
      </c>
      <c r="F1273" s="5">
        <v>46144.0</v>
      </c>
      <c r="G1273" s="2">
        <v>12978.0</v>
      </c>
      <c r="H1273" s="2" t="s">
        <v>2368</v>
      </c>
      <c r="I1273" s="8" t="s">
        <v>2369</v>
      </c>
    </row>
    <row r="1274" ht="22.5" customHeight="1">
      <c r="A1274" s="2">
        <v>1273.0</v>
      </c>
      <c r="B1274" s="2" t="s">
        <v>2367</v>
      </c>
      <c r="C1274" s="2" t="s">
        <v>272</v>
      </c>
      <c r="D1274" s="2">
        <v>4635.0</v>
      </c>
      <c r="E1274" s="5">
        <v>46236.0</v>
      </c>
      <c r="F1274" s="5">
        <v>46144.0</v>
      </c>
      <c r="G1274" s="2">
        <v>12978.0</v>
      </c>
      <c r="H1274" s="2" t="s">
        <v>2368</v>
      </c>
      <c r="I1274" s="8" t="s">
        <v>2369</v>
      </c>
    </row>
    <row r="1275" ht="22.5" customHeight="1">
      <c r="A1275" s="2">
        <v>1274.0</v>
      </c>
      <c r="B1275" s="2" t="s">
        <v>2370</v>
      </c>
      <c r="C1275" s="2" t="s">
        <v>272</v>
      </c>
      <c r="D1275" s="2">
        <v>8086.0</v>
      </c>
      <c r="E1275" s="5">
        <v>46236.0</v>
      </c>
      <c r="F1275" s="5">
        <v>46144.0</v>
      </c>
      <c r="G1275" s="2" t="s">
        <v>2371</v>
      </c>
      <c r="H1275" s="7">
        <v>20215.0</v>
      </c>
      <c r="I1275" s="8">
        <v>191967.0</v>
      </c>
    </row>
    <row r="1276" ht="22.5" customHeight="1">
      <c r="A1276" s="2">
        <v>1275.0</v>
      </c>
      <c r="B1276" s="2" t="s">
        <v>2370</v>
      </c>
      <c r="C1276" s="2" t="s">
        <v>272</v>
      </c>
      <c r="D1276" s="2">
        <v>8086.0</v>
      </c>
      <c r="E1276" s="5">
        <v>46236.0</v>
      </c>
      <c r="F1276" s="5">
        <v>46144.0</v>
      </c>
      <c r="G1276" s="2" t="s">
        <v>2371</v>
      </c>
      <c r="H1276" s="7">
        <v>20215.0</v>
      </c>
      <c r="I1276" s="8">
        <v>191967.0</v>
      </c>
    </row>
    <row r="1277" ht="22.5" customHeight="1">
      <c r="A1277" s="2">
        <v>1276.0</v>
      </c>
      <c r="B1277" s="2" t="s">
        <v>2370</v>
      </c>
      <c r="C1277" s="2" t="s">
        <v>276</v>
      </c>
      <c r="D1277" s="2">
        <v>5391.0</v>
      </c>
      <c r="E1277" s="5">
        <v>46057.0</v>
      </c>
      <c r="F1277" s="5">
        <v>46115.0</v>
      </c>
      <c r="G1277" s="2" t="s">
        <v>2372</v>
      </c>
      <c r="H1277" s="2" t="s">
        <v>2373</v>
      </c>
      <c r="I1277" s="8">
        <v>881179.0</v>
      </c>
    </row>
    <row r="1278" ht="22.5" customHeight="1">
      <c r="A1278" s="2">
        <v>1277.0</v>
      </c>
      <c r="B1278" s="2" t="s">
        <v>2374</v>
      </c>
      <c r="C1278" s="2" t="s">
        <v>291</v>
      </c>
      <c r="D1278" s="2">
        <v>347.0</v>
      </c>
      <c r="E1278" s="5">
        <v>46240.0</v>
      </c>
      <c r="F1278" s="5">
        <v>46027.0</v>
      </c>
      <c r="G1278" s="8">
        <v>167799.0</v>
      </c>
      <c r="H1278" s="8" t="s">
        <v>2375</v>
      </c>
      <c r="I1278" s="2" t="s">
        <v>2376</v>
      </c>
    </row>
    <row r="1279" ht="22.5" customHeight="1">
      <c r="A1279" s="2">
        <v>1278.0</v>
      </c>
      <c r="B1279" s="2" t="s">
        <v>2374</v>
      </c>
      <c r="C1279" s="2" t="s">
        <v>291</v>
      </c>
      <c r="D1279" s="2">
        <v>348.0</v>
      </c>
      <c r="E1279" s="5">
        <v>46240.0</v>
      </c>
      <c r="F1279" s="5">
        <v>46027.0</v>
      </c>
      <c r="G1279" s="8">
        <v>170295.0</v>
      </c>
      <c r="H1279" s="8" t="s">
        <v>2377</v>
      </c>
      <c r="I1279" s="2" t="s">
        <v>2378</v>
      </c>
    </row>
    <row r="1280" ht="22.5" customHeight="1">
      <c r="A1280" s="2">
        <v>1279.0</v>
      </c>
      <c r="B1280" s="2" t="s">
        <v>2379</v>
      </c>
      <c r="C1280" s="2" t="s">
        <v>272</v>
      </c>
      <c r="D1280" s="2">
        <v>2391.0</v>
      </c>
      <c r="E1280" s="5">
        <v>46236.0</v>
      </c>
      <c r="F1280" s="5">
        <v>46144.0</v>
      </c>
      <c r="G1280" s="8">
        <v>1751187.0</v>
      </c>
      <c r="H1280" s="8">
        <v>1489216.0</v>
      </c>
      <c r="I1280" s="2" t="s">
        <v>2380</v>
      </c>
    </row>
    <row r="1281" ht="22.5" customHeight="1">
      <c r="A1281" s="2">
        <v>1280.0</v>
      </c>
      <c r="B1281" s="2" t="s">
        <v>2379</v>
      </c>
      <c r="C1281" s="2" t="s">
        <v>272</v>
      </c>
      <c r="D1281" s="2">
        <v>2391.0</v>
      </c>
      <c r="E1281" s="5">
        <v>46236.0</v>
      </c>
      <c r="F1281" s="5">
        <v>46144.0</v>
      </c>
      <c r="G1281" s="8">
        <v>1751187.0</v>
      </c>
      <c r="H1281" s="8">
        <v>1489216.0</v>
      </c>
      <c r="I1281" s="2" t="s">
        <v>2380</v>
      </c>
    </row>
    <row r="1282" ht="22.5" customHeight="1">
      <c r="A1282" s="2">
        <v>1281.0</v>
      </c>
      <c r="B1282" s="2" t="s">
        <v>2381</v>
      </c>
      <c r="C1282" s="2" t="s">
        <v>278</v>
      </c>
      <c r="D1282" s="2">
        <v>1644.0</v>
      </c>
      <c r="E1282" s="5">
        <v>46115.0</v>
      </c>
      <c r="F1282" s="2" t="s">
        <v>279</v>
      </c>
      <c r="G1282" s="8">
        <v>1347533.0</v>
      </c>
      <c r="H1282" s="8">
        <v>1017293.0</v>
      </c>
      <c r="I1282" s="2" t="s">
        <v>2382</v>
      </c>
    </row>
    <row r="1283" ht="22.5" customHeight="1">
      <c r="A1283" s="2">
        <v>1282.0</v>
      </c>
      <c r="B1283" s="2" t="s">
        <v>2383</v>
      </c>
      <c r="C1283" s="2" t="s">
        <v>291</v>
      </c>
      <c r="D1283" s="2">
        <v>546.0</v>
      </c>
      <c r="E1283" s="5">
        <v>46240.0</v>
      </c>
      <c r="F1283" s="5">
        <v>46027.0</v>
      </c>
      <c r="G1283" s="8">
        <v>662034.0</v>
      </c>
      <c r="H1283" s="8">
        <v>323028.0</v>
      </c>
      <c r="I1283" s="2" t="s">
        <v>2384</v>
      </c>
    </row>
    <row r="1284" ht="22.5" customHeight="1">
      <c r="A1284" s="2">
        <v>1283.0</v>
      </c>
      <c r="B1284" s="2" t="s">
        <v>2383</v>
      </c>
      <c r="C1284" s="2" t="s">
        <v>291</v>
      </c>
      <c r="D1284" s="2">
        <v>546.0</v>
      </c>
      <c r="E1284" s="5">
        <v>46240.0</v>
      </c>
      <c r="F1284" s="5">
        <v>46027.0</v>
      </c>
      <c r="G1284" s="8">
        <v>662034.0</v>
      </c>
      <c r="H1284" s="8">
        <v>323028.0</v>
      </c>
      <c r="I1284" s="2" t="s">
        <v>2384</v>
      </c>
    </row>
    <row r="1285" ht="22.5" customHeight="1">
      <c r="A1285" s="2">
        <v>1284.0</v>
      </c>
      <c r="B1285" s="2" t="s">
        <v>2385</v>
      </c>
      <c r="C1285" s="2" t="s">
        <v>278</v>
      </c>
      <c r="D1285" s="2">
        <v>40276.0</v>
      </c>
      <c r="E1285" s="5">
        <v>46115.0</v>
      </c>
      <c r="F1285" s="2" t="s">
        <v>279</v>
      </c>
      <c r="G1285" s="2" t="s">
        <v>2386</v>
      </c>
      <c r="H1285" s="2" t="s">
        <v>2387</v>
      </c>
      <c r="I1285" s="2" t="s">
        <v>2388</v>
      </c>
    </row>
    <row r="1286" ht="22.5" customHeight="1">
      <c r="A1286" s="2">
        <v>1285.0</v>
      </c>
      <c r="B1286" s="2" t="s">
        <v>2385</v>
      </c>
      <c r="C1286" s="2" t="s">
        <v>270</v>
      </c>
      <c r="D1286" s="2">
        <v>16700.0</v>
      </c>
      <c r="E1286" s="5">
        <v>46061.0</v>
      </c>
      <c r="F1286" s="5">
        <v>46059.0</v>
      </c>
      <c r="G1286" s="2">
        <v>136940.0</v>
      </c>
      <c r="H1286" s="7">
        <v>103540.0</v>
      </c>
      <c r="I1286" s="2">
        <v>33400.0</v>
      </c>
    </row>
    <row r="1287" ht="22.5" customHeight="1">
      <c r="A1287" s="2">
        <v>1286.0</v>
      </c>
      <c r="B1287" s="2" t="s">
        <v>2389</v>
      </c>
      <c r="C1287" s="2" t="s">
        <v>317</v>
      </c>
      <c r="D1287" s="2">
        <v>1275.0</v>
      </c>
      <c r="E1287" s="5">
        <v>46148.0</v>
      </c>
      <c r="F1287" s="5">
        <v>46027.0</v>
      </c>
      <c r="G1287" s="8">
        <v>2332926.0</v>
      </c>
      <c r="H1287" s="8">
        <v>1680968.0</v>
      </c>
      <c r="I1287" s="2">
        <v>1785.0</v>
      </c>
    </row>
    <row r="1288" ht="22.5" customHeight="1">
      <c r="A1288" s="2">
        <v>1287.0</v>
      </c>
      <c r="B1288" s="2" t="s">
        <v>2389</v>
      </c>
      <c r="C1288" s="2" t="s">
        <v>317</v>
      </c>
      <c r="D1288" s="2">
        <v>1275.0</v>
      </c>
      <c r="E1288" s="5">
        <v>46148.0</v>
      </c>
      <c r="F1288" s="5">
        <v>46027.0</v>
      </c>
      <c r="G1288" s="8">
        <v>2332926.0</v>
      </c>
      <c r="H1288" s="8">
        <v>1680968.0</v>
      </c>
      <c r="I1288" s="2">
        <v>1785.0</v>
      </c>
    </row>
    <row r="1289" ht="22.5" customHeight="1">
      <c r="A1289" s="2">
        <v>1288.0</v>
      </c>
      <c r="B1289" s="2" t="s">
        <v>2390</v>
      </c>
      <c r="C1289" s="2" t="s">
        <v>311</v>
      </c>
      <c r="D1289" s="2">
        <v>2281.0</v>
      </c>
      <c r="E1289" s="5">
        <v>46057.0</v>
      </c>
      <c r="F1289" s="5">
        <v>46084.0</v>
      </c>
      <c r="G1289" s="8">
        <v>2805095.0</v>
      </c>
      <c r="H1289" s="8">
        <v>2055280.0</v>
      </c>
      <c r="I1289" s="8">
        <v>55763.0</v>
      </c>
    </row>
    <row r="1290" ht="22.5" customHeight="1">
      <c r="A1290" s="2">
        <v>1289.0</v>
      </c>
      <c r="B1290" s="2" t="s">
        <v>2390</v>
      </c>
      <c r="C1290" s="2" t="s">
        <v>311</v>
      </c>
      <c r="D1290" s="2">
        <v>2280.0</v>
      </c>
      <c r="E1290" s="5">
        <v>46057.0</v>
      </c>
      <c r="F1290" s="5">
        <v>46084.0</v>
      </c>
      <c r="G1290" s="2">
        <v>9576.0</v>
      </c>
      <c r="H1290" s="7">
        <v>7524.0</v>
      </c>
      <c r="I1290" s="2">
        <v>2052.0</v>
      </c>
    </row>
    <row r="1291" ht="22.5" customHeight="1">
      <c r="A1291" s="2">
        <v>1290.0</v>
      </c>
      <c r="B1291" s="2" t="s">
        <v>2391</v>
      </c>
      <c r="C1291" s="2" t="s">
        <v>311</v>
      </c>
      <c r="D1291" s="2">
        <v>1221.0</v>
      </c>
      <c r="E1291" s="5">
        <v>46057.0</v>
      </c>
      <c r="F1291" s="5">
        <v>46084.0</v>
      </c>
      <c r="G1291" s="8">
        <v>1179035.0</v>
      </c>
      <c r="H1291" s="8">
        <v>777663.0</v>
      </c>
      <c r="I1291" s="8" t="s">
        <v>2392</v>
      </c>
    </row>
    <row r="1292" ht="22.5" customHeight="1">
      <c r="A1292" s="2">
        <v>1291.0</v>
      </c>
      <c r="B1292" s="2" t="s">
        <v>2391</v>
      </c>
      <c r="C1292" s="2" t="s">
        <v>311</v>
      </c>
      <c r="D1292" s="2">
        <v>1220.0</v>
      </c>
      <c r="E1292" s="5">
        <v>46057.0</v>
      </c>
      <c r="F1292" s="5">
        <v>46084.0</v>
      </c>
      <c r="G1292" s="2">
        <v>5124.0</v>
      </c>
      <c r="H1292" s="7">
        <v>4026.0</v>
      </c>
      <c r="I1292" s="2">
        <v>1098.0</v>
      </c>
    </row>
    <row r="1293" ht="22.5" customHeight="1">
      <c r="A1293" s="2">
        <v>1292.0</v>
      </c>
      <c r="B1293" s="2" t="s">
        <v>2393</v>
      </c>
      <c r="C1293" s="2" t="s">
        <v>276</v>
      </c>
      <c r="D1293" s="2">
        <v>583.0</v>
      </c>
      <c r="E1293" s="5">
        <v>46057.0</v>
      </c>
      <c r="F1293" s="5">
        <v>46115.0</v>
      </c>
      <c r="G1293" s="8">
        <v>200307.0</v>
      </c>
      <c r="H1293" s="8">
        <v>29983.0</v>
      </c>
      <c r="I1293" s="2" t="s">
        <v>2394</v>
      </c>
    </row>
    <row r="1294" ht="22.5" customHeight="1">
      <c r="A1294" s="2">
        <v>1293.0</v>
      </c>
      <c r="B1294" s="2" t="s">
        <v>2393</v>
      </c>
      <c r="C1294" s="2" t="s">
        <v>272</v>
      </c>
      <c r="D1294" s="2">
        <v>875.0</v>
      </c>
      <c r="E1294" s="5">
        <v>46236.0</v>
      </c>
      <c r="F1294" s="5">
        <v>46144.0</v>
      </c>
      <c r="G1294" s="2">
        <v>2450.0</v>
      </c>
      <c r="H1294" s="8">
        <v>104947.0</v>
      </c>
      <c r="I1294" s="2" t="s">
        <v>2395</v>
      </c>
    </row>
    <row r="1295" ht="22.5" customHeight="1">
      <c r="A1295" s="2">
        <v>1294.0</v>
      </c>
      <c r="B1295" s="2" t="s">
        <v>2393</v>
      </c>
      <c r="C1295" s="2" t="s">
        <v>276</v>
      </c>
      <c r="D1295" s="2">
        <v>583.0</v>
      </c>
      <c r="E1295" s="5">
        <v>46057.0</v>
      </c>
      <c r="F1295" s="5">
        <v>46115.0</v>
      </c>
      <c r="G1295" s="8">
        <v>200307.0</v>
      </c>
      <c r="H1295" s="8">
        <v>29983.0</v>
      </c>
      <c r="I1295" s="2" t="s">
        <v>2394</v>
      </c>
    </row>
    <row r="1296" ht="22.5" customHeight="1">
      <c r="A1296" s="2">
        <v>1295.0</v>
      </c>
      <c r="B1296" s="2" t="s">
        <v>2396</v>
      </c>
      <c r="C1296" s="2" t="s">
        <v>270</v>
      </c>
      <c r="D1296" s="2">
        <v>866.0</v>
      </c>
      <c r="E1296" s="5">
        <v>46061.0</v>
      </c>
      <c r="F1296" s="5">
        <v>46059.0</v>
      </c>
      <c r="G1296" s="8">
        <v>1899659.0</v>
      </c>
      <c r="H1296" s="8">
        <v>1267060.0</v>
      </c>
      <c r="I1296" s="2">
        <v>1732.0</v>
      </c>
    </row>
    <row r="1297" ht="22.5" customHeight="1">
      <c r="A1297" s="2">
        <v>1296.0</v>
      </c>
      <c r="B1297" s="2" t="s">
        <v>2396</v>
      </c>
      <c r="C1297" s="2" t="s">
        <v>278</v>
      </c>
      <c r="D1297" s="2">
        <v>2089.0</v>
      </c>
      <c r="E1297" s="5">
        <v>46115.0</v>
      </c>
      <c r="F1297" s="2" t="s">
        <v>279</v>
      </c>
      <c r="G1297" s="8">
        <v>1900144.0</v>
      </c>
      <c r="H1297" s="2" t="s">
        <v>2397</v>
      </c>
      <c r="I1297" s="2" t="s">
        <v>2398</v>
      </c>
    </row>
    <row r="1298" ht="22.5" customHeight="1">
      <c r="A1298" s="2">
        <v>1297.0</v>
      </c>
      <c r="B1298" s="2" t="s">
        <v>2396</v>
      </c>
      <c r="C1298" s="2" t="s">
        <v>278</v>
      </c>
      <c r="D1298" s="2">
        <v>2089.0</v>
      </c>
      <c r="E1298" s="5">
        <v>46115.0</v>
      </c>
      <c r="F1298" s="2" t="s">
        <v>279</v>
      </c>
      <c r="G1298" s="8">
        <v>1900144.0</v>
      </c>
      <c r="H1298" s="2" t="s">
        <v>2397</v>
      </c>
      <c r="I1298" s="2" t="s">
        <v>2398</v>
      </c>
    </row>
    <row r="1299" ht="22.5" customHeight="1">
      <c r="A1299" s="2">
        <v>1298.0</v>
      </c>
      <c r="B1299" s="2" t="s">
        <v>2399</v>
      </c>
      <c r="C1299" s="2" t="s">
        <v>276</v>
      </c>
      <c r="D1299" s="2">
        <v>943.0</v>
      </c>
      <c r="E1299" s="5">
        <v>46057.0</v>
      </c>
      <c r="F1299" s="5">
        <v>46115.0</v>
      </c>
      <c r="G1299" s="8">
        <v>752553.0</v>
      </c>
      <c r="H1299" s="8">
        <v>477040.0</v>
      </c>
      <c r="I1299" s="2" t="s">
        <v>2400</v>
      </c>
    </row>
    <row r="1300" ht="22.5" customHeight="1">
      <c r="A1300" s="2">
        <v>1299.0</v>
      </c>
      <c r="B1300" s="2" t="s">
        <v>2399</v>
      </c>
      <c r="C1300" s="2" t="s">
        <v>272</v>
      </c>
      <c r="D1300" s="2">
        <v>1416.0</v>
      </c>
      <c r="E1300" s="5">
        <v>46236.0</v>
      </c>
      <c r="F1300" s="5">
        <v>46144.0</v>
      </c>
      <c r="G1300" s="8">
        <v>754075.0</v>
      </c>
      <c r="H1300" s="7">
        <v>3540.0</v>
      </c>
      <c r="I1300" s="2" t="s">
        <v>2401</v>
      </c>
    </row>
    <row r="1301" ht="22.5" customHeight="1">
      <c r="A1301" s="2">
        <v>1300.0</v>
      </c>
      <c r="B1301" s="2" t="s">
        <v>2402</v>
      </c>
      <c r="C1301" s="2" t="s">
        <v>317</v>
      </c>
      <c r="D1301" s="2">
        <v>2045.0</v>
      </c>
      <c r="E1301" s="5">
        <v>46148.0</v>
      </c>
      <c r="F1301" s="5">
        <v>46027.0</v>
      </c>
      <c r="G1301" s="2" t="s">
        <v>2403</v>
      </c>
      <c r="H1301" s="2" t="s">
        <v>2404</v>
      </c>
      <c r="I1301" s="2">
        <v>2863.0</v>
      </c>
    </row>
    <row r="1302" ht="22.5" customHeight="1">
      <c r="A1302" s="2">
        <v>1301.0</v>
      </c>
      <c r="B1302" s="2" t="s">
        <v>2402</v>
      </c>
      <c r="C1302" s="2" t="s">
        <v>272</v>
      </c>
      <c r="D1302" s="2">
        <v>4746.0</v>
      </c>
      <c r="E1302" s="5">
        <v>46236.0</v>
      </c>
      <c r="F1302" s="5">
        <v>46144.0</v>
      </c>
      <c r="G1302" s="2" t="s">
        <v>2405</v>
      </c>
      <c r="H1302" s="7">
        <v>11865.0</v>
      </c>
      <c r="I1302" s="8" t="s">
        <v>2406</v>
      </c>
    </row>
    <row r="1303" ht="22.5" customHeight="1">
      <c r="A1303" s="2">
        <v>1302.0</v>
      </c>
      <c r="B1303" s="2" t="s">
        <v>2407</v>
      </c>
      <c r="C1303" s="2" t="s">
        <v>278</v>
      </c>
      <c r="D1303" s="2">
        <v>1138.0</v>
      </c>
      <c r="E1303" s="5">
        <v>46115.0</v>
      </c>
      <c r="F1303" s="2" t="s">
        <v>279</v>
      </c>
      <c r="G1303" s="8">
        <v>719196.0</v>
      </c>
      <c r="H1303" s="8">
        <v>490582.0</v>
      </c>
      <c r="I1303" s="2" t="s">
        <v>2408</v>
      </c>
    </row>
    <row r="1304" ht="22.5" customHeight="1">
      <c r="A1304" s="2">
        <v>1303.0</v>
      </c>
      <c r="B1304" s="2" t="s">
        <v>2409</v>
      </c>
      <c r="C1304" s="2" t="s">
        <v>317</v>
      </c>
      <c r="D1304" s="2">
        <v>830.0</v>
      </c>
      <c r="E1304" s="5">
        <v>46148.0</v>
      </c>
      <c r="F1304" s="5">
        <v>46027.0</v>
      </c>
      <c r="G1304" s="2">
        <v>5395.0</v>
      </c>
      <c r="H1304" s="7">
        <v>4233.0</v>
      </c>
      <c r="I1304" s="2">
        <v>1162.0</v>
      </c>
    </row>
    <row r="1305" ht="22.5" customHeight="1">
      <c r="A1305" s="2">
        <v>1304.0</v>
      </c>
      <c r="B1305" s="2" t="s">
        <v>2410</v>
      </c>
      <c r="C1305" s="2" t="s">
        <v>276</v>
      </c>
      <c r="D1305" s="2">
        <v>1650.0</v>
      </c>
      <c r="E1305" s="5">
        <v>46057.0</v>
      </c>
      <c r="F1305" s="5">
        <v>46115.0</v>
      </c>
      <c r="G1305" s="2">
        <v>6930.0</v>
      </c>
      <c r="H1305" s="7">
        <v>5610.0</v>
      </c>
      <c r="I1305" s="2">
        <v>1320.0</v>
      </c>
    </row>
    <row r="1306" ht="22.5" customHeight="1">
      <c r="A1306" s="2">
        <v>1305.0</v>
      </c>
      <c r="B1306" s="2" t="s">
        <v>2410</v>
      </c>
      <c r="C1306" s="2" t="s">
        <v>317</v>
      </c>
      <c r="D1306" s="2">
        <v>1066.0</v>
      </c>
      <c r="E1306" s="5">
        <v>46148.0</v>
      </c>
      <c r="F1306" s="5">
        <v>46027.0</v>
      </c>
      <c r="G1306" s="2">
        <v>6929.0</v>
      </c>
      <c r="H1306" s="8">
        <v>1291651.0</v>
      </c>
      <c r="I1306" s="8" t="s">
        <v>1690</v>
      </c>
    </row>
    <row r="1307" ht="22.5" customHeight="1">
      <c r="A1307" s="2">
        <v>1306.0</v>
      </c>
      <c r="B1307" s="2" t="s">
        <v>2411</v>
      </c>
      <c r="C1307" s="2" t="s">
        <v>278</v>
      </c>
      <c r="D1307" s="2">
        <v>9864.0</v>
      </c>
      <c r="E1307" s="5">
        <v>46115.0</v>
      </c>
      <c r="F1307" s="2" t="s">
        <v>279</v>
      </c>
      <c r="G1307" s="2" t="s">
        <v>2412</v>
      </c>
      <c r="H1307" s="2" t="s">
        <v>2413</v>
      </c>
      <c r="I1307" s="8">
        <v>1287513.0</v>
      </c>
    </row>
    <row r="1308" ht="22.5" customHeight="1">
      <c r="A1308" s="2">
        <v>1307.0</v>
      </c>
      <c r="B1308" s="2" t="s">
        <v>2411</v>
      </c>
      <c r="C1308" s="2" t="s">
        <v>278</v>
      </c>
      <c r="D1308" s="2">
        <v>9864.0</v>
      </c>
      <c r="E1308" s="5">
        <v>46115.0</v>
      </c>
      <c r="F1308" s="2" t="s">
        <v>279</v>
      </c>
      <c r="G1308" s="2" t="s">
        <v>2412</v>
      </c>
      <c r="H1308" s="2" t="s">
        <v>2413</v>
      </c>
      <c r="I1308" s="8">
        <v>1287513.0</v>
      </c>
    </row>
    <row r="1309" ht="22.5" customHeight="1">
      <c r="A1309" s="2">
        <v>1308.0</v>
      </c>
      <c r="B1309" s="2" t="s">
        <v>2411</v>
      </c>
      <c r="C1309" s="2" t="s">
        <v>278</v>
      </c>
      <c r="D1309" s="2">
        <v>9863.0</v>
      </c>
      <c r="E1309" s="5">
        <v>46115.0</v>
      </c>
      <c r="F1309" s="2" t="s">
        <v>279</v>
      </c>
      <c r="G1309" s="2" t="s">
        <v>2414</v>
      </c>
      <c r="H1309" s="2" t="s">
        <v>2415</v>
      </c>
      <c r="I1309" s="2" t="s">
        <v>2416</v>
      </c>
    </row>
    <row r="1310" ht="22.5" customHeight="1">
      <c r="A1310" s="2">
        <v>1309.0</v>
      </c>
      <c r="B1310" s="2" t="s">
        <v>2417</v>
      </c>
      <c r="C1310" s="2" t="s">
        <v>311</v>
      </c>
      <c r="D1310" s="2">
        <v>3981.0</v>
      </c>
      <c r="E1310" s="5">
        <v>46057.0</v>
      </c>
      <c r="F1310" s="5">
        <v>46084.0</v>
      </c>
      <c r="G1310" s="2" t="s">
        <v>2418</v>
      </c>
      <c r="H1310" s="2" t="s">
        <v>2419</v>
      </c>
      <c r="I1310" s="8">
        <v>614583.0</v>
      </c>
    </row>
    <row r="1311" ht="22.5" customHeight="1">
      <c r="A1311" s="2">
        <v>1310.0</v>
      </c>
      <c r="B1311" s="2" t="s">
        <v>2417</v>
      </c>
      <c r="C1311" s="2" t="s">
        <v>311</v>
      </c>
      <c r="D1311" s="2">
        <v>3980.0</v>
      </c>
      <c r="E1311" s="5">
        <v>46057.0</v>
      </c>
      <c r="F1311" s="5">
        <v>46084.0</v>
      </c>
      <c r="G1311" s="2">
        <v>16716.0</v>
      </c>
      <c r="H1311" s="7">
        <v>13134.0</v>
      </c>
      <c r="I1311" s="2">
        <v>3582.0</v>
      </c>
    </row>
    <row r="1312" ht="22.5" customHeight="1">
      <c r="A1312" s="2">
        <v>1311.0</v>
      </c>
      <c r="B1312" s="2" t="s">
        <v>2420</v>
      </c>
      <c r="C1312" s="2" t="s">
        <v>272</v>
      </c>
      <c r="D1312" s="2">
        <v>7260.0</v>
      </c>
      <c r="E1312" s="5">
        <v>46236.0</v>
      </c>
      <c r="F1312" s="5">
        <v>46144.0</v>
      </c>
      <c r="G1312" s="2">
        <v>20328.0</v>
      </c>
      <c r="H1312" s="7">
        <v>18150.0</v>
      </c>
      <c r="I1312" s="2">
        <v>2178.0</v>
      </c>
    </row>
    <row r="1313" ht="22.5" customHeight="1">
      <c r="A1313" s="2">
        <v>1312.0</v>
      </c>
      <c r="B1313" s="2" t="s">
        <v>2421</v>
      </c>
      <c r="C1313" s="2" t="s">
        <v>317</v>
      </c>
      <c r="D1313" s="2">
        <v>499.0</v>
      </c>
      <c r="E1313" s="5">
        <v>46148.0</v>
      </c>
      <c r="F1313" s="5">
        <v>46027.0</v>
      </c>
      <c r="G1313" s="8">
        <v>490643.0</v>
      </c>
      <c r="H1313" s="8">
        <v>235462.0</v>
      </c>
      <c r="I1313" s="2" t="s">
        <v>2422</v>
      </c>
    </row>
    <row r="1314" ht="22.5" customHeight="1">
      <c r="A1314" s="2">
        <v>1313.0</v>
      </c>
      <c r="B1314" s="2" t="s">
        <v>2421</v>
      </c>
      <c r="C1314" s="2" t="s">
        <v>276</v>
      </c>
      <c r="D1314" s="2">
        <v>772.0</v>
      </c>
      <c r="E1314" s="5">
        <v>46057.0</v>
      </c>
      <c r="F1314" s="5">
        <v>46115.0</v>
      </c>
      <c r="G1314" s="8">
        <v>490248.0</v>
      </c>
      <c r="H1314" s="8">
        <v>264650.0</v>
      </c>
      <c r="I1314" s="2" t="s">
        <v>2423</v>
      </c>
    </row>
    <row r="1315" ht="22.5" customHeight="1">
      <c r="A1315" s="2">
        <v>1314.0</v>
      </c>
      <c r="B1315" s="2" t="s">
        <v>2424</v>
      </c>
      <c r="C1315" s="2" t="s">
        <v>272</v>
      </c>
      <c r="D1315" s="2">
        <v>1076.0</v>
      </c>
      <c r="E1315" s="5">
        <v>46236.0</v>
      </c>
      <c r="F1315" s="5">
        <v>46144.0</v>
      </c>
      <c r="G1315" s="8">
        <v>406364.0</v>
      </c>
      <c r="H1315" s="7">
        <v>2690.0</v>
      </c>
      <c r="I1315" s="2" t="s">
        <v>2425</v>
      </c>
    </row>
    <row r="1316" ht="22.5" customHeight="1">
      <c r="A1316" s="2">
        <v>1315.0</v>
      </c>
      <c r="B1316" s="2" t="s">
        <v>2426</v>
      </c>
      <c r="C1316" s="2" t="s">
        <v>287</v>
      </c>
      <c r="D1316" s="2">
        <v>213.0</v>
      </c>
      <c r="E1316" s="5">
        <v>46152.0</v>
      </c>
      <c r="F1316" s="5">
        <v>46241.0</v>
      </c>
      <c r="G1316" s="8">
        <v>122844.0</v>
      </c>
      <c r="H1316" s="8" t="s">
        <v>2427</v>
      </c>
      <c r="I1316" s="2" t="s">
        <v>2428</v>
      </c>
    </row>
    <row r="1317" ht="22.5" customHeight="1">
      <c r="A1317" s="2">
        <v>1316.0</v>
      </c>
      <c r="B1317" s="2" t="s">
        <v>2426</v>
      </c>
      <c r="C1317" s="2" t="s">
        <v>291</v>
      </c>
      <c r="D1317" s="2">
        <v>330.0</v>
      </c>
      <c r="E1317" s="5">
        <v>46240.0</v>
      </c>
      <c r="F1317" s="5">
        <v>46027.0</v>
      </c>
      <c r="G1317" s="2">
        <v>2244.0</v>
      </c>
      <c r="H1317" s="7">
        <v>1683.0</v>
      </c>
      <c r="I1317" s="2">
        <v>561.0</v>
      </c>
    </row>
    <row r="1318" ht="22.5" customHeight="1">
      <c r="A1318" s="2">
        <v>1317.0</v>
      </c>
      <c r="B1318" s="2" t="s">
        <v>2426</v>
      </c>
      <c r="C1318" s="2" t="s">
        <v>291</v>
      </c>
      <c r="D1318" s="2">
        <v>330.0</v>
      </c>
      <c r="E1318" s="5">
        <v>46240.0</v>
      </c>
      <c r="F1318" s="5">
        <v>46027.0</v>
      </c>
      <c r="G1318" s="2">
        <v>2244.0</v>
      </c>
      <c r="H1318" s="7">
        <v>1683.0</v>
      </c>
      <c r="I1318" s="2">
        <v>561.0</v>
      </c>
    </row>
    <row r="1319" ht="22.5" customHeight="1">
      <c r="A1319" s="2">
        <v>1318.0</v>
      </c>
      <c r="B1319" s="2" t="s">
        <v>2429</v>
      </c>
      <c r="C1319" s="2" t="s">
        <v>317</v>
      </c>
      <c r="D1319" s="2">
        <v>1157.0</v>
      </c>
      <c r="E1319" s="5">
        <v>46148.0</v>
      </c>
      <c r="F1319" s="5">
        <v>46027.0</v>
      </c>
      <c r="G1319" s="8">
        <v>2052785.0</v>
      </c>
      <c r="H1319" s="8">
        <v>1461153.0</v>
      </c>
      <c r="I1319" s="8" t="s">
        <v>2430</v>
      </c>
    </row>
    <row r="1320" ht="22.5" customHeight="1">
      <c r="A1320" s="2">
        <v>1319.0</v>
      </c>
      <c r="B1320" s="2" t="s">
        <v>2429</v>
      </c>
      <c r="C1320" s="2" t="s">
        <v>272</v>
      </c>
      <c r="D1320" s="2">
        <v>2685.0</v>
      </c>
      <c r="E1320" s="5">
        <v>46236.0</v>
      </c>
      <c r="F1320" s="5">
        <v>46144.0</v>
      </c>
      <c r="G1320" s="2">
        <v>7518.0</v>
      </c>
      <c r="H1320" s="8">
        <v>1757669.0</v>
      </c>
      <c r="I1320" s="2" t="s">
        <v>2431</v>
      </c>
    </row>
    <row r="1321" ht="22.5" customHeight="1">
      <c r="A1321" s="2">
        <v>1320.0</v>
      </c>
      <c r="B1321" s="2" t="s">
        <v>2429</v>
      </c>
      <c r="C1321" s="2" t="s">
        <v>272</v>
      </c>
      <c r="D1321" s="2">
        <v>2685.0</v>
      </c>
      <c r="E1321" s="5">
        <v>46236.0</v>
      </c>
      <c r="F1321" s="5">
        <v>46144.0</v>
      </c>
      <c r="G1321" s="2">
        <v>7518.0</v>
      </c>
      <c r="H1321" s="8">
        <v>1757669.0</v>
      </c>
      <c r="I1321" s="2" t="s">
        <v>2431</v>
      </c>
    </row>
    <row r="1322" ht="22.5" customHeight="1">
      <c r="A1322" s="2">
        <v>1321.0</v>
      </c>
      <c r="B1322" s="2" t="s">
        <v>2432</v>
      </c>
      <c r="C1322" s="2" t="s">
        <v>272</v>
      </c>
      <c r="D1322" s="2">
        <v>5040.0</v>
      </c>
      <c r="E1322" s="5">
        <v>46236.0</v>
      </c>
      <c r="F1322" s="5">
        <v>46144.0</v>
      </c>
      <c r="G1322" s="2">
        <v>14112.0</v>
      </c>
      <c r="H1322" s="7">
        <v>12600.0</v>
      </c>
      <c r="I1322" s="2">
        <v>1512.0</v>
      </c>
    </row>
    <row r="1323" ht="22.5" customHeight="1">
      <c r="A1323" s="2">
        <v>1322.0</v>
      </c>
      <c r="B1323" s="2" t="s">
        <v>2432</v>
      </c>
      <c r="C1323" s="2" t="s">
        <v>276</v>
      </c>
      <c r="D1323" s="2">
        <v>3360.0</v>
      </c>
      <c r="E1323" s="5">
        <v>46057.0</v>
      </c>
      <c r="F1323" s="5">
        <v>46115.0</v>
      </c>
      <c r="G1323" s="2">
        <v>14112.0</v>
      </c>
      <c r="H1323" s="7">
        <v>11424.0</v>
      </c>
      <c r="I1323" s="2">
        <v>2688.0</v>
      </c>
    </row>
    <row r="1324" ht="22.5" customHeight="1">
      <c r="A1324" s="2">
        <v>1323.0</v>
      </c>
      <c r="B1324" s="2" t="s">
        <v>2432</v>
      </c>
      <c r="C1324" s="2" t="s">
        <v>272</v>
      </c>
      <c r="D1324" s="2">
        <v>5041.0</v>
      </c>
      <c r="E1324" s="5">
        <v>46236.0</v>
      </c>
      <c r="F1324" s="5">
        <v>46144.0</v>
      </c>
      <c r="G1324" s="2" t="s">
        <v>2433</v>
      </c>
      <c r="H1324" s="2" t="s">
        <v>2434</v>
      </c>
      <c r="I1324" s="8" t="s">
        <v>2435</v>
      </c>
    </row>
    <row r="1325" ht="22.5" customHeight="1">
      <c r="A1325" s="2">
        <v>1324.0</v>
      </c>
      <c r="B1325" s="2" t="s">
        <v>2436</v>
      </c>
      <c r="C1325" s="2" t="s">
        <v>272</v>
      </c>
      <c r="D1325" s="2">
        <v>1520.0</v>
      </c>
      <c r="E1325" s="5">
        <v>46236.0</v>
      </c>
      <c r="F1325" s="5">
        <v>46144.0</v>
      </c>
      <c r="G1325" s="2">
        <v>4256.0</v>
      </c>
      <c r="H1325" s="7">
        <v>3800.0</v>
      </c>
      <c r="I1325" s="2">
        <v>456.0</v>
      </c>
    </row>
    <row r="1326" ht="22.5" customHeight="1">
      <c r="A1326" s="2">
        <v>1325.0</v>
      </c>
      <c r="B1326" s="2" t="s">
        <v>2436</v>
      </c>
      <c r="C1326" s="2" t="s">
        <v>272</v>
      </c>
      <c r="D1326" s="2">
        <v>1520.0</v>
      </c>
      <c r="E1326" s="5">
        <v>46236.0</v>
      </c>
      <c r="F1326" s="5">
        <v>46144.0</v>
      </c>
      <c r="G1326" s="2">
        <v>4256.0</v>
      </c>
      <c r="H1326" s="7">
        <v>3800.0</v>
      </c>
      <c r="I1326" s="2">
        <v>456.0</v>
      </c>
    </row>
    <row r="1327" ht="22.5" customHeight="1">
      <c r="A1327" s="2">
        <v>1326.0</v>
      </c>
      <c r="B1327" s="2" t="s">
        <v>2436</v>
      </c>
      <c r="C1327" s="2" t="s">
        <v>276</v>
      </c>
      <c r="D1327" s="2">
        <v>1013.0</v>
      </c>
      <c r="E1327" s="5">
        <v>46057.0</v>
      </c>
      <c r="F1327" s="5">
        <v>46115.0</v>
      </c>
      <c r="G1327" s="8">
        <v>859934.0</v>
      </c>
      <c r="H1327" s="8">
        <v>563967.0</v>
      </c>
      <c r="I1327" s="2" t="s">
        <v>2437</v>
      </c>
    </row>
    <row r="1328" ht="22.5" customHeight="1">
      <c r="A1328" s="2">
        <v>1327.0</v>
      </c>
      <c r="B1328" s="2" t="s">
        <v>2438</v>
      </c>
      <c r="C1328" s="2" t="s">
        <v>272</v>
      </c>
      <c r="D1328" s="2">
        <v>414.0</v>
      </c>
      <c r="E1328" s="5">
        <v>46236.0</v>
      </c>
      <c r="F1328" s="5">
        <v>46144.0</v>
      </c>
      <c r="G1328" s="8" t="s">
        <v>2439</v>
      </c>
      <c r="H1328" s="7">
        <v>1035.0</v>
      </c>
      <c r="I1328" s="2" t="s">
        <v>2440</v>
      </c>
    </row>
    <row r="1329" ht="22.5" customHeight="1">
      <c r="A1329" s="2">
        <v>1328.0</v>
      </c>
      <c r="B1329" s="2" t="s">
        <v>2438</v>
      </c>
      <c r="C1329" s="2" t="s">
        <v>317</v>
      </c>
      <c r="D1329" s="2">
        <v>178.0</v>
      </c>
      <c r="E1329" s="5">
        <v>46148.0</v>
      </c>
      <c r="F1329" s="5">
        <v>46027.0</v>
      </c>
      <c r="G1329" s="2">
        <v>1157.0</v>
      </c>
      <c r="H1329" s="2" t="s">
        <v>2441</v>
      </c>
      <c r="I1329" s="2" t="s">
        <v>2442</v>
      </c>
    </row>
    <row r="1330" ht="22.5" customHeight="1">
      <c r="A1330" s="2">
        <v>1329.0</v>
      </c>
      <c r="B1330" s="2" t="s">
        <v>2443</v>
      </c>
      <c r="C1330" s="2" t="s">
        <v>317</v>
      </c>
      <c r="D1330" s="2">
        <v>19220.0</v>
      </c>
      <c r="E1330" s="5">
        <v>46148.0</v>
      </c>
      <c r="F1330" s="5">
        <v>46027.0</v>
      </c>
      <c r="G1330" s="2">
        <v>124930.0</v>
      </c>
      <c r="H1330" s="7">
        <v>98022.0</v>
      </c>
      <c r="I1330" s="2">
        <v>26908.0</v>
      </c>
    </row>
    <row r="1331" ht="22.5" customHeight="1">
      <c r="A1331" s="2">
        <v>1330.0</v>
      </c>
      <c r="B1331" s="2" t="s">
        <v>2444</v>
      </c>
      <c r="C1331" s="2" t="s">
        <v>276</v>
      </c>
      <c r="D1331" s="2">
        <v>10322.0</v>
      </c>
      <c r="E1331" s="5">
        <v>46057.0</v>
      </c>
      <c r="F1331" s="5">
        <v>46115.0</v>
      </c>
      <c r="G1331" s="2" t="s">
        <v>2445</v>
      </c>
      <c r="H1331" s="2" t="s">
        <v>2446</v>
      </c>
      <c r="I1331" s="8">
        <v>2322000.0</v>
      </c>
    </row>
    <row r="1332" ht="22.5" customHeight="1">
      <c r="A1332" s="2">
        <v>1331.0</v>
      </c>
      <c r="B1332" s="2" t="s">
        <v>2447</v>
      </c>
      <c r="C1332" s="2" t="s">
        <v>272</v>
      </c>
      <c r="D1332" s="2">
        <v>1933.0</v>
      </c>
      <c r="E1332" s="5">
        <v>46236.0</v>
      </c>
      <c r="F1332" s="5">
        <v>46144.0</v>
      </c>
      <c r="G1332" s="8">
        <v>1282824.0</v>
      </c>
      <c r="H1332" s="8">
        <v>1071014.0</v>
      </c>
      <c r="I1332" s="2" t="s">
        <v>2448</v>
      </c>
    </row>
    <row r="1333" ht="22.5" customHeight="1">
      <c r="A1333" s="2">
        <v>1332.0</v>
      </c>
      <c r="B1333" s="2" t="s">
        <v>2447</v>
      </c>
      <c r="C1333" s="2" t="s">
        <v>272</v>
      </c>
      <c r="D1333" s="2">
        <v>1934.0</v>
      </c>
      <c r="E1333" s="5">
        <v>46236.0</v>
      </c>
      <c r="F1333" s="5">
        <v>46144.0</v>
      </c>
      <c r="G1333" s="8">
        <v>1283860.0</v>
      </c>
      <c r="H1333" s="7">
        <v>4835.0</v>
      </c>
      <c r="I1333" s="2" t="s">
        <v>2449</v>
      </c>
    </row>
    <row r="1334" ht="22.5" customHeight="1">
      <c r="A1334" s="2">
        <v>1333.0</v>
      </c>
      <c r="B1334" s="2" t="s">
        <v>2447</v>
      </c>
      <c r="C1334" s="2" t="s">
        <v>272</v>
      </c>
      <c r="D1334" s="2">
        <v>1933.0</v>
      </c>
      <c r="E1334" s="5">
        <v>46236.0</v>
      </c>
      <c r="F1334" s="5">
        <v>46144.0</v>
      </c>
      <c r="G1334" s="8">
        <v>1282824.0</v>
      </c>
      <c r="H1334" s="8">
        <v>1071014.0</v>
      </c>
      <c r="I1334" s="2" t="s">
        <v>2448</v>
      </c>
    </row>
    <row r="1335" ht="22.5" customHeight="1">
      <c r="A1335" s="2">
        <v>1334.0</v>
      </c>
      <c r="B1335" s="2" t="s">
        <v>2450</v>
      </c>
      <c r="C1335" s="2" t="s">
        <v>311</v>
      </c>
      <c r="D1335" s="2">
        <v>1104.0</v>
      </c>
      <c r="E1335" s="5">
        <v>46057.0</v>
      </c>
      <c r="F1335" s="5">
        <v>46084.0</v>
      </c>
      <c r="G1335" s="8">
        <v>999518.0</v>
      </c>
      <c r="H1335" s="8">
        <v>636651.0</v>
      </c>
      <c r="I1335" s="2" t="s">
        <v>2451</v>
      </c>
    </row>
    <row r="1336" ht="22.5" customHeight="1">
      <c r="A1336" s="2">
        <v>1335.0</v>
      </c>
      <c r="B1336" s="2" t="s">
        <v>2450</v>
      </c>
      <c r="C1336" s="2" t="s">
        <v>311</v>
      </c>
      <c r="D1336" s="2">
        <v>1104.0</v>
      </c>
      <c r="E1336" s="5">
        <v>46057.0</v>
      </c>
      <c r="F1336" s="5">
        <v>46084.0</v>
      </c>
      <c r="G1336" s="8">
        <v>999518.0</v>
      </c>
      <c r="H1336" s="8">
        <v>636651.0</v>
      </c>
      <c r="I1336" s="2" t="s">
        <v>2451</v>
      </c>
    </row>
    <row r="1337" ht="22.5" customHeight="1">
      <c r="A1337" s="2">
        <v>1336.0</v>
      </c>
      <c r="B1337" s="2" t="s">
        <v>2452</v>
      </c>
      <c r="C1337" s="2" t="s">
        <v>276</v>
      </c>
      <c r="D1337" s="2">
        <v>1027.0</v>
      </c>
      <c r="E1337" s="5">
        <v>46057.0</v>
      </c>
      <c r="F1337" s="5">
        <v>46115.0</v>
      </c>
      <c r="G1337" s="8">
        <v>881422.0</v>
      </c>
      <c r="H1337" s="8">
        <v>581315.0</v>
      </c>
      <c r="I1337" s="2" t="s">
        <v>2453</v>
      </c>
    </row>
    <row r="1338" ht="22.5" customHeight="1">
      <c r="A1338" s="2">
        <v>1337.0</v>
      </c>
      <c r="B1338" s="2" t="s">
        <v>2452</v>
      </c>
      <c r="C1338" s="2" t="s">
        <v>272</v>
      </c>
      <c r="D1338" s="2">
        <v>1540.0</v>
      </c>
      <c r="E1338" s="5">
        <v>46236.0</v>
      </c>
      <c r="F1338" s="5">
        <v>46144.0</v>
      </c>
      <c r="G1338" s="2">
        <v>4312.0</v>
      </c>
      <c r="H1338" s="7">
        <v>3850.0</v>
      </c>
      <c r="I1338" s="2">
        <v>462.0</v>
      </c>
    </row>
    <row r="1339" ht="22.5" customHeight="1">
      <c r="A1339" s="2">
        <v>1338.0</v>
      </c>
      <c r="B1339" s="2" t="s">
        <v>2452</v>
      </c>
      <c r="C1339" s="2" t="s">
        <v>317</v>
      </c>
      <c r="D1339" s="2">
        <v>663.0</v>
      </c>
      <c r="E1339" s="5">
        <v>46148.0</v>
      </c>
      <c r="F1339" s="5">
        <v>46027.0</v>
      </c>
      <c r="G1339" s="8">
        <v>879991.0</v>
      </c>
      <c r="H1339" s="8">
        <v>540986.0</v>
      </c>
      <c r="I1339" s="2" t="s">
        <v>2384</v>
      </c>
    </row>
    <row r="1340" ht="22.5" customHeight="1">
      <c r="A1340" s="2">
        <v>1339.0</v>
      </c>
      <c r="B1340" s="2" t="s">
        <v>2454</v>
      </c>
      <c r="C1340" s="2" t="s">
        <v>276</v>
      </c>
      <c r="D1340" s="2">
        <v>3263.0</v>
      </c>
      <c r="E1340" s="5">
        <v>46057.0</v>
      </c>
      <c r="F1340" s="5">
        <v>46115.0</v>
      </c>
      <c r="G1340" s="2" t="s">
        <v>2455</v>
      </c>
      <c r="H1340" s="2" t="s">
        <v>2456</v>
      </c>
      <c r="I1340" s="8">
        <v>259414.0</v>
      </c>
    </row>
    <row r="1341" ht="22.5" customHeight="1">
      <c r="A1341" s="2">
        <v>1340.0</v>
      </c>
      <c r="B1341" s="2" t="s">
        <v>2457</v>
      </c>
      <c r="C1341" s="2" t="s">
        <v>311</v>
      </c>
      <c r="D1341" s="2">
        <v>14183.0</v>
      </c>
      <c r="E1341" s="5">
        <v>46057.0</v>
      </c>
      <c r="F1341" s="5">
        <v>46084.0</v>
      </c>
      <c r="G1341" s="2" t="s">
        <v>2458</v>
      </c>
      <c r="H1341" s="2" t="s">
        <v>2459</v>
      </c>
      <c r="I1341" s="2" t="s">
        <v>2460</v>
      </c>
    </row>
    <row r="1342" ht="22.5" customHeight="1">
      <c r="A1342" s="2">
        <v>1341.0</v>
      </c>
      <c r="B1342" s="2" t="s">
        <v>2457</v>
      </c>
      <c r="C1342" s="2" t="s">
        <v>291</v>
      </c>
      <c r="D1342" s="2">
        <v>8760.0</v>
      </c>
      <c r="E1342" s="5">
        <v>46240.0</v>
      </c>
      <c r="F1342" s="5">
        <v>46027.0</v>
      </c>
      <c r="G1342" s="2">
        <v>59568.0</v>
      </c>
      <c r="H1342" s="7">
        <v>44676.0</v>
      </c>
      <c r="I1342" s="2">
        <v>14892.0</v>
      </c>
    </row>
    <row r="1343" ht="22.5" customHeight="1">
      <c r="A1343" s="2">
        <v>1342.0</v>
      </c>
      <c r="B1343" s="2" t="s">
        <v>2457</v>
      </c>
      <c r="C1343" s="2" t="s">
        <v>291</v>
      </c>
      <c r="D1343" s="2">
        <v>8760.0</v>
      </c>
      <c r="E1343" s="5">
        <v>46240.0</v>
      </c>
      <c r="F1343" s="5">
        <v>46027.0</v>
      </c>
      <c r="G1343" s="2">
        <v>59568.0</v>
      </c>
      <c r="H1343" s="7">
        <v>44676.0</v>
      </c>
      <c r="I1343" s="2">
        <v>14892.0</v>
      </c>
    </row>
    <row r="1344" ht="22.5" customHeight="1">
      <c r="A1344" s="2">
        <v>1343.0</v>
      </c>
      <c r="B1344" s="2" t="s">
        <v>2461</v>
      </c>
      <c r="C1344" s="2" t="s">
        <v>269</v>
      </c>
      <c r="D1344" s="2">
        <v>15694.0</v>
      </c>
      <c r="E1344" s="5">
        <v>46058.0</v>
      </c>
      <c r="F1344" s="6">
        <v>46146.0</v>
      </c>
      <c r="G1344" s="2" t="s">
        <v>2462</v>
      </c>
      <c r="H1344" s="2" t="s">
        <v>2463</v>
      </c>
      <c r="I1344" s="2" t="s">
        <v>2464</v>
      </c>
    </row>
    <row r="1345" ht="22.5" customHeight="1">
      <c r="A1345" s="2">
        <v>1344.0</v>
      </c>
      <c r="B1345" s="2" t="s">
        <v>2461</v>
      </c>
      <c r="C1345" s="2" t="s">
        <v>270</v>
      </c>
      <c r="D1345" s="2">
        <v>9952.0</v>
      </c>
      <c r="E1345" s="5">
        <v>46061.0</v>
      </c>
      <c r="F1345" s="5">
        <v>46059.0</v>
      </c>
      <c r="G1345" s="2" t="s">
        <v>2465</v>
      </c>
      <c r="H1345" s="2" t="s">
        <v>2466</v>
      </c>
      <c r="I1345" s="2">
        <v>19904.0</v>
      </c>
    </row>
    <row r="1346" ht="22.5" customHeight="1">
      <c r="A1346" s="2">
        <v>1345.0</v>
      </c>
      <c r="B1346" s="2" t="s">
        <v>2467</v>
      </c>
      <c r="C1346" s="2" t="s">
        <v>272</v>
      </c>
      <c r="D1346" s="2">
        <v>9456.0</v>
      </c>
      <c r="E1346" s="5">
        <v>46236.0</v>
      </c>
      <c r="F1346" s="5">
        <v>46144.0</v>
      </c>
      <c r="G1346" s="2" t="s">
        <v>2468</v>
      </c>
      <c r="H1346" s="7">
        <v>23640.0</v>
      </c>
      <c r="I1346" s="8">
        <v>342082.0</v>
      </c>
    </row>
    <row r="1347" ht="22.5" customHeight="1">
      <c r="A1347" s="2">
        <v>1346.0</v>
      </c>
      <c r="B1347" s="2" t="s">
        <v>2469</v>
      </c>
      <c r="C1347" s="2" t="s">
        <v>278</v>
      </c>
      <c r="D1347" s="2">
        <v>9986.0</v>
      </c>
      <c r="E1347" s="5">
        <v>46115.0</v>
      </c>
      <c r="F1347" s="2" t="s">
        <v>279</v>
      </c>
      <c r="G1347" s="2" t="s">
        <v>2470</v>
      </c>
      <c r="H1347" s="2" t="s">
        <v>2471</v>
      </c>
      <c r="I1347" s="8">
        <v>1312013.0</v>
      </c>
    </row>
    <row r="1348" ht="22.5" customHeight="1">
      <c r="A1348" s="2">
        <v>1347.0</v>
      </c>
      <c r="B1348" s="2" t="s">
        <v>2472</v>
      </c>
      <c r="C1348" s="2" t="s">
        <v>272</v>
      </c>
      <c r="D1348" s="2">
        <v>2213.0</v>
      </c>
      <c r="E1348" s="5">
        <v>46236.0</v>
      </c>
      <c r="F1348" s="5">
        <v>46144.0</v>
      </c>
      <c r="G1348" s="8">
        <v>1569175.0</v>
      </c>
      <c r="H1348" s="8">
        <v>1326683.0</v>
      </c>
      <c r="I1348" s="2" t="s">
        <v>2473</v>
      </c>
    </row>
    <row r="1349" ht="22.5" customHeight="1">
      <c r="A1349" s="2">
        <v>1348.0</v>
      </c>
      <c r="B1349" s="2" t="s">
        <v>2472</v>
      </c>
      <c r="C1349" s="2" t="s">
        <v>276</v>
      </c>
      <c r="D1349" s="2">
        <v>1475.0</v>
      </c>
      <c r="E1349" s="5">
        <v>46057.0</v>
      </c>
      <c r="F1349" s="5">
        <v>46115.0</v>
      </c>
      <c r="G1349" s="2">
        <v>6195.0</v>
      </c>
      <c r="H1349" s="7">
        <v>5015.0</v>
      </c>
      <c r="I1349" s="2">
        <v>1180.0</v>
      </c>
    </row>
    <row r="1350" ht="22.5" customHeight="1">
      <c r="A1350" s="2">
        <v>1349.0</v>
      </c>
      <c r="B1350" s="2" t="s">
        <v>2472</v>
      </c>
      <c r="C1350" s="2" t="s">
        <v>276</v>
      </c>
      <c r="D1350" s="2">
        <v>1475.0</v>
      </c>
      <c r="E1350" s="5">
        <v>46057.0</v>
      </c>
      <c r="F1350" s="5">
        <v>46115.0</v>
      </c>
      <c r="G1350" s="2">
        <v>6195.0</v>
      </c>
      <c r="H1350" s="7">
        <v>5015.0</v>
      </c>
      <c r="I1350" s="2">
        <v>1180.0</v>
      </c>
    </row>
    <row r="1351" ht="22.5" customHeight="1">
      <c r="A1351" s="2">
        <v>1350.0</v>
      </c>
      <c r="B1351" s="2" t="s">
        <v>2474</v>
      </c>
      <c r="C1351" s="2" t="s">
        <v>311</v>
      </c>
      <c r="D1351" s="2">
        <v>3926.0</v>
      </c>
      <c r="E1351" s="5">
        <v>46057.0</v>
      </c>
      <c r="F1351" s="5">
        <v>46084.0</v>
      </c>
      <c r="G1351" s="2" t="s">
        <v>2475</v>
      </c>
      <c r="H1351" s="2" t="s">
        <v>2476</v>
      </c>
      <c r="I1351" s="8">
        <v>596533.0</v>
      </c>
    </row>
    <row r="1352" ht="22.5" customHeight="1">
      <c r="A1352" s="2">
        <v>1351.0</v>
      </c>
      <c r="B1352" s="2" t="s">
        <v>2474</v>
      </c>
      <c r="C1352" s="2" t="s">
        <v>311</v>
      </c>
      <c r="D1352" s="2">
        <v>3926.0</v>
      </c>
      <c r="E1352" s="5">
        <v>46057.0</v>
      </c>
      <c r="F1352" s="5">
        <v>46084.0</v>
      </c>
      <c r="G1352" s="2" t="s">
        <v>2475</v>
      </c>
      <c r="H1352" s="2" t="s">
        <v>2476</v>
      </c>
      <c r="I1352" s="8">
        <v>596533.0</v>
      </c>
    </row>
    <row r="1353" ht="22.5" customHeight="1">
      <c r="A1353" s="2">
        <v>1352.0</v>
      </c>
      <c r="B1353" s="2" t="s">
        <v>2477</v>
      </c>
      <c r="C1353" s="2" t="s">
        <v>272</v>
      </c>
      <c r="D1353" s="2">
        <v>1822.0</v>
      </c>
      <c r="E1353" s="5">
        <v>46236.0</v>
      </c>
      <c r="F1353" s="5">
        <v>46144.0</v>
      </c>
      <c r="G1353" s="8">
        <v>1169294.0</v>
      </c>
      <c r="H1353" s="7">
        <v>4555.0</v>
      </c>
      <c r="I1353" s="2" t="s">
        <v>2478</v>
      </c>
    </row>
    <row r="1354" ht="22.5" customHeight="1">
      <c r="A1354" s="2">
        <v>1353.0</v>
      </c>
      <c r="B1354" s="2" t="s">
        <v>2477</v>
      </c>
      <c r="C1354" s="2" t="s">
        <v>272</v>
      </c>
      <c r="D1354" s="2">
        <v>1821.0</v>
      </c>
      <c r="E1354" s="5">
        <v>46236.0</v>
      </c>
      <c r="F1354" s="5">
        <v>46144.0</v>
      </c>
      <c r="G1354" s="8">
        <v>1168260.0</v>
      </c>
      <c r="H1354" s="8">
        <v>968746.0</v>
      </c>
      <c r="I1354" s="2" t="s">
        <v>2479</v>
      </c>
    </row>
    <row r="1355" ht="22.5" customHeight="1">
      <c r="A1355" s="2">
        <v>1354.0</v>
      </c>
      <c r="B1355" s="2" t="s">
        <v>2480</v>
      </c>
      <c r="C1355" s="2" t="s">
        <v>311</v>
      </c>
      <c r="D1355" s="2">
        <v>1665.0</v>
      </c>
      <c r="E1355" s="5">
        <v>46057.0</v>
      </c>
      <c r="F1355" s="5">
        <v>46084.0</v>
      </c>
      <c r="G1355" s="2">
        <v>6993.0</v>
      </c>
      <c r="H1355" s="8">
        <v>1312804.0</v>
      </c>
      <c r="I1355" s="8" t="s">
        <v>2481</v>
      </c>
    </row>
    <row r="1356" ht="22.5" customHeight="1">
      <c r="A1356" s="2">
        <v>1355.0</v>
      </c>
      <c r="B1356" s="2" t="s">
        <v>2482</v>
      </c>
      <c r="C1356" s="2" t="s">
        <v>276</v>
      </c>
      <c r="D1356" s="2">
        <v>909.0</v>
      </c>
      <c r="E1356" s="5">
        <v>46057.0</v>
      </c>
      <c r="F1356" s="5">
        <v>46115.0</v>
      </c>
      <c r="G1356" s="8">
        <v>700384.0</v>
      </c>
      <c r="H1356" s="8">
        <v>434792.0</v>
      </c>
      <c r="I1356" s="2" t="s">
        <v>2483</v>
      </c>
    </row>
    <row r="1357" ht="22.5" customHeight="1">
      <c r="A1357" s="2">
        <v>1356.0</v>
      </c>
      <c r="B1357" s="2" t="s">
        <v>2482</v>
      </c>
      <c r="C1357" s="2" t="s">
        <v>276</v>
      </c>
      <c r="D1357" s="2">
        <v>909.0</v>
      </c>
      <c r="E1357" s="5">
        <v>46057.0</v>
      </c>
      <c r="F1357" s="5">
        <v>46115.0</v>
      </c>
      <c r="G1357" s="8">
        <v>700384.0</v>
      </c>
      <c r="H1357" s="8">
        <v>434792.0</v>
      </c>
      <c r="I1357" s="2" t="s">
        <v>2483</v>
      </c>
    </row>
    <row r="1358" ht="22.5" customHeight="1">
      <c r="A1358" s="2">
        <v>1357.0</v>
      </c>
      <c r="B1358" s="2" t="s">
        <v>2484</v>
      </c>
      <c r="C1358" s="2" t="s">
        <v>276</v>
      </c>
      <c r="D1358" s="2">
        <v>805.0</v>
      </c>
      <c r="E1358" s="5">
        <v>46057.0</v>
      </c>
      <c r="F1358" s="5">
        <v>46115.0</v>
      </c>
      <c r="G1358" s="2">
        <v>3381.0</v>
      </c>
      <c r="H1358" s="7">
        <v>2737.0</v>
      </c>
      <c r="I1358" s="2">
        <v>644.0</v>
      </c>
    </row>
    <row r="1359" ht="22.5" customHeight="1">
      <c r="A1359" s="2">
        <v>1358.0</v>
      </c>
      <c r="B1359" s="2" t="s">
        <v>2484</v>
      </c>
      <c r="C1359" s="2" t="s">
        <v>272</v>
      </c>
      <c r="D1359" s="2">
        <v>1207.0</v>
      </c>
      <c r="E1359" s="5">
        <v>46236.0</v>
      </c>
      <c r="F1359" s="5">
        <v>46144.0</v>
      </c>
      <c r="G1359" s="8">
        <v>540347.0</v>
      </c>
      <c r="H1359" s="8">
        <v>408098.0</v>
      </c>
      <c r="I1359" s="2" t="s">
        <v>2485</v>
      </c>
    </row>
    <row r="1360" ht="22.5" customHeight="1">
      <c r="A1360" s="2">
        <v>1359.0</v>
      </c>
      <c r="B1360" s="2" t="s">
        <v>2484</v>
      </c>
      <c r="C1360" s="2" t="s">
        <v>317</v>
      </c>
      <c r="D1360" s="2">
        <v>520.0</v>
      </c>
      <c r="E1360" s="5">
        <v>46148.0</v>
      </c>
      <c r="F1360" s="5">
        <v>46027.0</v>
      </c>
      <c r="G1360" s="2">
        <v>3380.0</v>
      </c>
      <c r="H1360" s="7">
        <v>2652.0</v>
      </c>
      <c r="I1360" s="2">
        <v>728.0</v>
      </c>
    </row>
    <row r="1361" ht="22.5" customHeight="1">
      <c r="A1361" s="2">
        <v>1360.0</v>
      </c>
      <c r="B1361" s="2" t="s">
        <v>2486</v>
      </c>
      <c r="C1361" s="2" t="s">
        <v>317</v>
      </c>
      <c r="D1361" s="2">
        <v>918.0</v>
      </c>
      <c r="E1361" s="5">
        <v>46148.0</v>
      </c>
      <c r="F1361" s="5">
        <v>46027.0</v>
      </c>
      <c r="G1361" s="2">
        <v>5967.0</v>
      </c>
      <c r="H1361" s="8">
        <v>1015954.0</v>
      </c>
      <c r="I1361" s="8" t="s">
        <v>1207</v>
      </c>
    </row>
    <row r="1362" ht="22.5" customHeight="1">
      <c r="A1362" s="2">
        <v>1361.0</v>
      </c>
      <c r="B1362" s="2" t="s">
        <v>2487</v>
      </c>
      <c r="C1362" s="2" t="s">
        <v>291</v>
      </c>
      <c r="D1362" s="2">
        <v>1762.0</v>
      </c>
      <c r="E1362" s="5">
        <v>46240.0</v>
      </c>
      <c r="F1362" s="5">
        <v>46027.0</v>
      </c>
      <c r="G1362" s="2" t="s">
        <v>2488</v>
      </c>
      <c r="H1362" s="8">
        <v>2588142.0</v>
      </c>
      <c r="I1362" s="8">
        <v>400033.0</v>
      </c>
    </row>
    <row r="1363" ht="22.5" customHeight="1">
      <c r="A1363" s="2">
        <v>1362.0</v>
      </c>
      <c r="B1363" s="2" t="s">
        <v>2489</v>
      </c>
      <c r="C1363" s="2" t="s">
        <v>269</v>
      </c>
      <c r="D1363" s="2">
        <v>7935.0</v>
      </c>
      <c r="E1363" s="5">
        <v>46058.0</v>
      </c>
      <c r="F1363" s="6">
        <v>46146.0</v>
      </c>
      <c r="G1363" s="2">
        <v>41262.0</v>
      </c>
      <c r="H1363" s="2" t="s">
        <v>2490</v>
      </c>
      <c r="I1363" s="2" t="s">
        <v>2491</v>
      </c>
    </row>
    <row r="1364" ht="22.5" customHeight="1">
      <c r="A1364" s="2">
        <v>1363.0</v>
      </c>
      <c r="B1364" s="2" t="s">
        <v>2492</v>
      </c>
      <c r="C1364" s="2" t="s">
        <v>272</v>
      </c>
      <c r="D1364" s="2">
        <v>11925.0</v>
      </c>
      <c r="E1364" s="5">
        <v>46236.0</v>
      </c>
      <c r="F1364" s="5">
        <v>46144.0</v>
      </c>
      <c r="G1364" s="2">
        <v>33390.0</v>
      </c>
      <c r="H1364" s="2" t="s">
        <v>2493</v>
      </c>
      <c r="I1364" s="8">
        <v>612634.0</v>
      </c>
    </row>
    <row r="1365" ht="22.5" customHeight="1">
      <c r="A1365" s="2">
        <v>1364.0</v>
      </c>
      <c r="B1365" s="2" t="s">
        <v>2494</v>
      </c>
      <c r="C1365" s="2" t="s">
        <v>269</v>
      </c>
      <c r="D1365" s="2">
        <v>29709.0</v>
      </c>
      <c r="E1365" s="5">
        <v>46058.0</v>
      </c>
      <c r="F1365" s="6">
        <v>46146.0</v>
      </c>
      <c r="G1365" s="2" t="s">
        <v>2495</v>
      </c>
      <c r="H1365" s="2" t="s">
        <v>2496</v>
      </c>
      <c r="I1365" s="2" t="s">
        <v>2497</v>
      </c>
    </row>
    <row r="1366" ht="22.5" customHeight="1">
      <c r="A1366" s="2">
        <v>1365.0</v>
      </c>
      <c r="B1366" s="2" t="s">
        <v>2494</v>
      </c>
      <c r="C1366" s="2" t="s">
        <v>278</v>
      </c>
      <c r="D1366" s="2">
        <v>45438.0</v>
      </c>
      <c r="E1366" s="5">
        <v>46115.0</v>
      </c>
      <c r="F1366" s="2" t="s">
        <v>279</v>
      </c>
      <c r="G1366" s="2" t="s">
        <v>2498</v>
      </c>
      <c r="H1366" s="2" t="s">
        <v>2499</v>
      </c>
      <c r="I1366" s="2" t="s">
        <v>2500</v>
      </c>
    </row>
    <row r="1367" ht="22.5" customHeight="1">
      <c r="A1367" s="2">
        <v>1366.0</v>
      </c>
      <c r="B1367" s="2" t="s">
        <v>2501</v>
      </c>
      <c r="C1367" s="2" t="s">
        <v>272</v>
      </c>
      <c r="D1367" s="2">
        <v>39605.0</v>
      </c>
      <c r="E1367" s="5">
        <v>46236.0</v>
      </c>
      <c r="F1367" s="5">
        <v>46144.0</v>
      </c>
      <c r="G1367" s="2">
        <v>110894.0</v>
      </c>
      <c r="H1367" s="2" t="s">
        <v>2502</v>
      </c>
      <c r="I1367" s="2" t="s">
        <v>2503</v>
      </c>
    </row>
    <row r="1368" ht="22.5" customHeight="1">
      <c r="A1368" s="2">
        <v>1367.0</v>
      </c>
      <c r="B1368" s="2" t="s">
        <v>2504</v>
      </c>
      <c r="C1368" s="2" t="s">
        <v>276</v>
      </c>
      <c r="D1368" s="2">
        <v>11079.0</v>
      </c>
      <c r="E1368" s="5">
        <v>46057.0</v>
      </c>
      <c r="F1368" s="5">
        <v>46115.0</v>
      </c>
      <c r="G1368" s="2" t="s">
        <v>2505</v>
      </c>
      <c r="H1368" s="2" t="s">
        <v>2506</v>
      </c>
      <c r="I1368" s="8">
        <v>2543217.0</v>
      </c>
    </row>
    <row r="1369" ht="22.5" customHeight="1">
      <c r="A1369" s="2">
        <v>1368.0</v>
      </c>
      <c r="B1369" s="2" t="s">
        <v>2504</v>
      </c>
      <c r="C1369" s="2" t="s">
        <v>317</v>
      </c>
      <c r="D1369" s="2">
        <v>7159.0</v>
      </c>
      <c r="E1369" s="5">
        <v>46148.0</v>
      </c>
      <c r="F1369" s="5">
        <v>46027.0</v>
      </c>
      <c r="G1369" s="2" t="s">
        <v>2507</v>
      </c>
      <c r="H1369" s="2" t="s">
        <v>2508</v>
      </c>
      <c r="I1369" s="2" t="s">
        <v>2509</v>
      </c>
    </row>
    <row r="1370" ht="22.5" customHeight="1">
      <c r="A1370" s="2">
        <v>1369.0</v>
      </c>
      <c r="B1370" s="2" t="s">
        <v>2504</v>
      </c>
      <c r="C1370" s="2" t="s">
        <v>276</v>
      </c>
      <c r="D1370" s="2">
        <v>11079.0</v>
      </c>
      <c r="E1370" s="5">
        <v>46057.0</v>
      </c>
      <c r="F1370" s="5">
        <v>46115.0</v>
      </c>
      <c r="G1370" s="2" t="s">
        <v>2505</v>
      </c>
      <c r="H1370" s="2" t="s">
        <v>2506</v>
      </c>
      <c r="I1370" s="8">
        <v>2543217.0</v>
      </c>
    </row>
    <row r="1371" ht="22.5" customHeight="1">
      <c r="A1371" s="2">
        <v>1370.0</v>
      </c>
      <c r="B1371" s="2" t="s">
        <v>2510</v>
      </c>
      <c r="C1371" s="2" t="s">
        <v>276</v>
      </c>
      <c r="D1371" s="2">
        <v>2275.0</v>
      </c>
      <c r="E1371" s="5">
        <v>46057.0</v>
      </c>
      <c r="F1371" s="5">
        <v>46115.0</v>
      </c>
      <c r="G1371" s="2">
        <v>9555.0</v>
      </c>
      <c r="H1371" s="7">
        <v>7735.0</v>
      </c>
      <c r="I1371" s="2">
        <v>1820.0</v>
      </c>
    </row>
    <row r="1372" ht="22.5" customHeight="1">
      <c r="A1372" s="2">
        <v>1371.0</v>
      </c>
      <c r="B1372" s="2" t="s">
        <v>2510</v>
      </c>
      <c r="C1372" s="2" t="s">
        <v>272</v>
      </c>
      <c r="D1372" s="2">
        <v>3411.0</v>
      </c>
      <c r="E1372" s="5">
        <v>46236.0</v>
      </c>
      <c r="F1372" s="5">
        <v>46144.0</v>
      </c>
      <c r="G1372" s="8">
        <v>2794319.0</v>
      </c>
      <c r="H1372" s="8">
        <v>2420584.0</v>
      </c>
      <c r="I1372" s="8" t="s">
        <v>2511</v>
      </c>
    </row>
    <row r="1373" ht="22.5" customHeight="1">
      <c r="A1373" s="2">
        <v>1372.0</v>
      </c>
      <c r="B1373" s="2" t="s">
        <v>2510</v>
      </c>
      <c r="C1373" s="2" t="s">
        <v>272</v>
      </c>
      <c r="D1373" s="2">
        <v>3412.0</v>
      </c>
      <c r="E1373" s="5">
        <v>46236.0</v>
      </c>
      <c r="F1373" s="5">
        <v>46144.0</v>
      </c>
      <c r="G1373" s="8">
        <v>2795354.0</v>
      </c>
      <c r="H1373" s="7">
        <v>8530.0</v>
      </c>
      <c r="I1373" s="8" t="s">
        <v>2512</v>
      </c>
    </row>
    <row r="1374" ht="22.5" customHeight="1">
      <c r="A1374" s="2">
        <v>1373.0</v>
      </c>
      <c r="B1374" s="2" t="s">
        <v>2513</v>
      </c>
      <c r="C1374" s="2" t="s">
        <v>317</v>
      </c>
      <c r="D1374" s="2">
        <v>606.0</v>
      </c>
      <c r="E1374" s="5">
        <v>46148.0</v>
      </c>
      <c r="F1374" s="5">
        <v>46027.0</v>
      </c>
      <c r="G1374" s="2">
        <v>3939.0</v>
      </c>
      <c r="H1374" s="8">
        <v>434792.0</v>
      </c>
      <c r="I1374" s="2" t="s">
        <v>2514</v>
      </c>
    </row>
    <row r="1375" ht="22.5" customHeight="1">
      <c r="A1375" s="2">
        <v>1374.0</v>
      </c>
      <c r="B1375" s="2" t="s">
        <v>2513</v>
      </c>
      <c r="C1375" s="2" t="s">
        <v>276</v>
      </c>
      <c r="D1375" s="2">
        <v>936.0</v>
      </c>
      <c r="E1375" s="5">
        <v>46057.0</v>
      </c>
      <c r="F1375" s="5">
        <v>46115.0</v>
      </c>
      <c r="G1375" s="8">
        <v>741840.0</v>
      </c>
      <c r="H1375" s="8">
        <v>468333.0</v>
      </c>
      <c r="I1375" s="2" t="s">
        <v>2515</v>
      </c>
    </row>
    <row r="1376" ht="22.5" customHeight="1">
      <c r="A1376" s="2">
        <v>1375.0</v>
      </c>
      <c r="B1376" s="2" t="s">
        <v>2516</v>
      </c>
      <c r="C1376" s="2" t="s">
        <v>276</v>
      </c>
      <c r="D1376" s="2">
        <v>772.0</v>
      </c>
      <c r="E1376" s="5">
        <v>46057.0</v>
      </c>
      <c r="F1376" s="5">
        <v>46115.0</v>
      </c>
      <c r="G1376" s="8">
        <v>490248.0</v>
      </c>
      <c r="H1376" s="8">
        <v>264650.0</v>
      </c>
      <c r="I1376" s="2" t="s">
        <v>2423</v>
      </c>
    </row>
    <row r="1377" ht="22.5" customHeight="1">
      <c r="A1377" s="2">
        <v>1376.0</v>
      </c>
      <c r="B1377" s="2" t="s">
        <v>2516</v>
      </c>
      <c r="C1377" s="2" t="s">
        <v>276</v>
      </c>
      <c r="D1377" s="2">
        <v>772.0</v>
      </c>
      <c r="E1377" s="5">
        <v>46057.0</v>
      </c>
      <c r="F1377" s="5">
        <v>46115.0</v>
      </c>
      <c r="G1377" s="8">
        <v>490248.0</v>
      </c>
      <c r="H1377" s="8">
        <v>264650.0</v>
      </c>
      <c r="I1377" s="2" t="s">
        <v>2423</v>
      </c>
    </row>
    <row r="1378" ht="22.5" customHeight="1">
      <c r="A1378" s="2">
        <v>1377.0</v>
      </c>
      <c r="B1378" s="2" t="s">
        <v>2517</v>
      </c>
      <c r="C1378" s="2" t="s">
        <v>311</v>
      </c>
      <c r="D1378" s="2">
        <v>3051.0</v>
      </c>
      <c r="E1378" s="5">
        <v>46057.0</v>
      </c>
      <c r="F1378" s="5">
        <v>46084.0</v>
      </c>
      <c r="G1378" s="2" t="s">
        <v>2518</v>
      </c>
      <c r="H1378" s="2" t="s">
        <v>2519</v>
      </c>
      <c r="I1378" s="8">
        <v>308875.0</v>
      </c>
    </row>
    <row r="1379" ht="22.5" customHeight="1">
      <c r="A1379" s="2">
        <v>1378.0</v>
      </c>
      <c r="B1379" s="2" t="s">
        <v>2517</v>
      </c>
      <c r="C1379" s="2" t="s">
        <v>311</v>
      </c>
      <c r="D1379" s="2">
        <v>3051.0</v>
      </c>
      <c r="E1379" s="5">
        <v>46057.0</v>
      </c>
      <c r="F1379" s="5">
        <v>46084.0</v>
      </c>
      <c r="G1379" s="2" t="s">
        <v>2518</v>
      </c>
      <c r="H1379" s="2" t="s">
        <v>2519</v>
      </c>
      <c r="I1379" s="8">
        <v>308875.0</v>
      </c>
    </row>
    <row r="1380" ht="22.5" customHeight="1">
      <c r="A1380" s="2">
        <v>1379.0</v>
      </c>
      <c r="B1380" s="2" t="s">
        <v>2517</v>
      </c>
      <c r="C1380" s="2" t="s">
        <v>311</v>
      </c>
      <c r="D1380" s="2">
        <v>3052.0</v>
      </c>
      <c r="E1380" s="5">
        <v>46057.0</v>
      </c>
      <c r="F1380" s="5">
        <v>46084.0</v>
      </c>
      <c r="G1380" s="2" t="s">
        <v>2520</v>
      </c>
      <c r="H1380" s="2" t="s">
        <v>2521</v>
      </c>
      <c r="I1380" s="8">
        <v>309209.0</v>
      </c>
    </row>
    <row r="1381" ht="22.5" customHeight="1">
      <c r="A1381" s="2">
        <v>1380.0</v>
      </c>
      <c r="B1381" s="2" t="s">
        <v>2522</v>
      </c>
      <c r="C1381" s="2" t="s">
        <v>272</v>
      </c>
      <c r="D1381" s="2">
        <v>1297.0</v>
      </c>
      <c r="E1381" s="5">
        <v>46236.0</v>
      </c>
      <c r="F1381" s="5">
        <v>46144.0</v>
      </c>
      <c r="G1381" s="8">
        <v>632388.0</v>
      </c>
      <c r="H1381" s="8">
        <v>490278.0</v>
      </c>
      <c r="I1381" s="2" t="s">
        <v>2523</v>
      </c>
    </row>
    <row r="1382" ht="22.5" customHeight="1">
      <c r="A1382" s="2">
        <v>1381.0</v>
      </c>
      <c r="B1382" s="2" t="s">
        <v>2522</v>
      </c>
      <c r="C1382" s="2" t="s">
        <v>317</v>
      </c>
      <c r="D1382" s="2">
        <v>558.0</v>
      </c>
      <c r="E1382" s="5">
        <v>46148.0</v>
      </c>
      <c r="F1382" s="5">
        <v>46027.0</v>
      </c>
      <c r="G1382" s="2">
        <v>3627.0</v>
      </c>
      <c r="H1382" s="8">
        <v>345369.0</v>
      </c>
      <c r="I1382" s="2" t="s">
        <v>565</v>
      </c>
    </row>
    <row r="1383" ht="22.5" customHeight="1">
      <c r="A1383" s="2">
        <v>1382.0</v>
      </c>
      <c r="B1383" s="2" t="s">
        <v>2522</v>
      </c>
      <c r="C1383" s="2" t="s">
        <v>272</v>
      </c>
      <c r="D1383" s="2">
        <v>1297.0</v>
      </c>
      <c r="E1383" s="5">
        <v>46236.0</v>
      </c>
      <c r="F1383" s="5">
        <v>46144.0</v>
      </c>
      <c r="G1383" s="8">
        <v>632388.0</v>
      </c>
      <c r="H1383" s="8">
        <v>490278.0</v>
      </c>
      <c r="I1383" s="2" t="s">
        <v>2523</v>
      </c>
    </row>
  </sheetData>
  <dataValidations>
    <dataValidation type="custom" allowBlank="1" showDropDown="1" sqref="E2:E1383">
      <formula1>OR(NOT(ISERROR(DATEVALUE(E2))), AND(ISNUMBER(E2), LEFT(CELL("format", E2))="D"))</formula1>
    </dataValidation>
    <dataValidation type="custom" allowBlank="1" showDropDown="1" sqref="H2:H1383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3.5"/>
    <col customWidth="1" min="5" max="6" width="19.25"/>
    <col customWidth="1" min="7" max="7" width="21.25"/>
    <col customWidth="1" min="8" max="8" width="14.75"/>
  </cols>
  <sheetData>
    <row r="1" ht="22.5" customHeight="1">
      <c r="A1" s="1" t="s">
        <v>261</v>
      </c>
      <c r="B1" s="1" t="s">
        <v>1</v>
      </c>
      <c r="C1" s="1" t="s">
        <v>2524</v>
      </c>
      <c r="D1" s="1" t="s">
        <v>2525</v>
      </c>
      <c r="E1" s="1" t="s">
        <v>263</v>
      </c>
      <c r="F1" s="1" t="s">
        <v>264</v>
      </c>
      <c r="G1" s="1" t="s">
        <v>2526</v>
      </c>
      <c r="H1" s="1" t="s">
        <v>2527</v>
      </c>
    </row>
    <row r="2" ht="22.5" customHeight="1">
      <c r="A2" s="2" t="s">
        <v>272</v>
      </c>
      <c r="B2" s="2" t="s">
        <v>2528</v>
      </c>
      <c r="C2" s="2" t="s">
        <v>2529</v>
      </c>
      <c r="D2" s="2" t="s">
        <v>2530</v>
      </c>
      <c r="E2" s="5">
        <v>46236.0</v>
      </c>
      <c r="F2" s="10">
        <v>46144.0</v>
      </c>
      <c r="G2" s="2" t="s">
        <v>2531</v>
      </c>
      <c r="H2" s="2" t="s">
        <v>2532</v>
      </c>
    </row>
    <row r="3" ht="22.5" customHeight="1">
      <c r="A3" s="2" t="s">
        <v>278</v>
      </c>
      <c r="B3" s="2" t="s">
        <v>2533</v>
      </c>
      <c r="C3" s="2" t="s">
        <v>2529</v>
      </c>
      <c r="D3" s="2" t="s">
        <v>2534</v>
      </c>
      <c r="E3" s="5">
        <v>46115.0</v>
      </c>
      <c r="F3" s="2" t="s">
        <v>279</v>
      </c>
      <c r="G3" s="2" t="s">
        <v>2535</v>
      </c>
      <c r="H3" s="2" t="s">
        <v>2536</v>
      </c>
    </row>
    <row r="4" ht="22.5" customHeight="1">
      <c r="A4" s="2" t="s">
        <v>311</v>
      </c>
      <c r="B4" s="2" t="s">
        <v>2537</v>
      </c>
      <c r="C4" s="2" t="s">
        <v>2529</v>
      </c>
      <c r="D4" s="2" t="s">
        <v>2538</v>
      </c>
      <c r="E4" s="5">
        <v>46057.0</v>
      </c>
      <c r="F4" s="10">
        <v>46084.0</v>
      </c>
      <c r="G4" s="2" t="s">
        <v>2539</v>
      </c>
      <c r="H4" s="2" t="s">
        <v>2540</v>
      </c>
    </row>
    <row r="5" ht="22.5" customHeight="1">
      <c r="A5" s="2" t="s">
        <v>276</v>
      </c>
      <c r="B5" s="2" t="s">
        <v>2541</v>
      </c>
      <c r="C5" s="2" t="s">
        <v>2542</v>
      </c>
      <c r="D5" s="2" t="s">
        <v>2530</v>
      </c>
      <c r="E5" s="5">
        <v>46057.0</v>
      </c>
      <c r="F5" s="10">
        <v>46115.0</v>
      </c>
      <c r="G5" s="2" t="s">
        <v>2543</v>
      </c>
      <c r="H5" s="6">
        <v>46161.0</v>
      </c>
    </row>
    <row r="6" ht="22.5" customHeight="1">
      <c r="A6" s="2" t="s">
        <v>269</v>
      </c>
      <c r="B6" s="2" t="s">
        <v>2544</v>
      </c>
      <c r="C6" s="2" t="s">
        <v>2542</v>
      </c>
      <c r="D6" s="2" t="s">
        <v>2534</v>
      </c>
      <c r="E6" s="5">
        <v>46058.0</v>
      </c>
      <c r="F6" s="10">
        <v>46146.0</v>
      </c>
      <c r="G6" s="2" t="s">
        <v>2545</v>
      </c>
      <c r="H6" s="5">
        <v>46378.0</v>
      </c>
    </row>
    <row r="7" ht="22.5" customHeight="1">
      <c r="A7" s="2" t="s">
        <v>291</v>
      </c>
      <c r="B7" s="2" t="s">
        <v>2546</v>
      </c>
      <c r="C7" s="2" t="s">
        <v>2542</v>
      </c>
      <c r="D7" s="2" t="s">
        <v>2538</v>
      </c>
      <c r="E7" s="5">
        <v>46240.0</v>
      </c>
      <c r="F7" s="10">
        <v>46027.0</v>
      </c>
      <c r="G7" s="5">
        <v>46204.0</v>
      </c>
      <c r="H7" s="2">
        <v>25.0</v>
      </c>
    </row>
    <row r="8" ht="22.5" customHeight="1">
      <c r="A8" s="2" t="s">
        <v>317</v>
      </c>
      <c r="B8" s="2" t="s">
        <v>2547</v>
      </c>
      <c r="C8" s="2" t="s">
        <v>2548</v>
      </c>
      <c r="D8" s="2" t="s">
        <v>2530</v>
      </c>
      <c r="E8" s="5">
        <v>46148.0</v>
      </c>
      <c r="F8" s="10">
        <v>46027.0</v>
      </c>
      <c r="G8" s="5">
        <v>46113.0</v>
      </c>
      <c r="H8" s="2" t="s">
        <v>2549</v>
      </c>
    </row>
    <row r="9" ht="22.5" customHeight="1">
      <c r="A9" s="2" t="s">
        <v>270</v>
      </c>
      <c r="B9" s="2" t="s">
        <v>2550</v>
      </c>
      <c r="C9" s="2" t="s">
        <v>2548</v>
      </c>
      <c r="D9" s="2" t="s">
        <v>2534</v>
      </c>
      <c r="E9" s="5">
        <v>46061.0</v>
      </c>
      <c r="F9" s="10">
        <v>46059.0</v>
      </c>
      <c r="G9" s="2">
        <v>2.0</v>
      </c>
      <c r="H9" s="2" t="s">
        <v>2551</v>
      </c>
    </row>
    <row r="10" ht="22.5" customHeight="1">
      <c r="A10" s="2" t="s">
        <v>287</v>
      </c>
      <c r="B10" s="2" t="s">
        <v>2552</v>
      </c>
      <c r="C10" s="2" t="s">
        <v>2548</v>
      </c>
      <c r="D10" s="2" t="s">
        <v>2538</v>
      </c>
      <c r="E10" s="5">
        <v>46152.0</v>
      </c>
      <c r="F10" s="10">
        <v>46241.0</v>
      </c>
      <c r="G10" s="5">
        <v>46205.0</v>
      </c>
      <c r="H10" s="2" t="s">
        <v>2553</v>
      </c>
    </row>
  </sheetData>
  <dataValidations>
    <dataValidation type="custom" allowBlank="1" showDropDown="1" sqref="E2:G10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20.63"/>
    <col customWidth="1" min="5" max="5" width="37.63"/>
    <col customWidth="1" min="6" max="6" width="19.63"/>
    <col customWidth="1" min="7" max="7" width="25.0"/>
  </cols>
  <sheetData>
    <row r="1" ht="22.5" customHeight="1">
      <c r="A1" s="1" t="s">
        <v>6</v>
      </c>
      <c r="B1" s="1" t="s">
        <v>2554</v>
      </c>
      <c r="C1" s="1" t="s">
        <v>2555</v>
      </c>
      <c r="D1" s="1" t="s">
        <v>2556</v>
      </c>
      <c r="E1" s="1" t="s">
        <v>2557</v>
      </c>
      <c r="F1" s="1" t="s">
        <v>2558</v>
      </c>
      <c r="G1" s="1" t="s">
        <v>2559</v>
      </c>
    </row>
    <row r="2" ht="22.5" customHeight="1">
      <c r="A2" s="2" t="s">
        <v>43</v>
      </c>
      <c r="B2" s="2" t="s">
        <v>2560</v>
      </c>
      <c r="C2" s="2" t="s">
        <v>2561</v>
      </c>
      <c r="D2" s="2" t="s">
        <v>44</v>
      </c>
      <c r="E2" s="2" t="s">
        <v>2562</v>
      </c>
      <c r="F2" s="4">
        <v>2019.0</v>
      </c>
      <c r="G2" s="4">
        <v>28.0</v>
      </c>
    </row>
    <row r="3" ht="22.5" customHeight="1">
      <c r="A3" s="2" t="s">
        <v>39</v>
      </c>
      <c r="B3" s="2" t="s">
        <v>2563</v>
      </c>
      <c r="C3" s="2" t="s">
        <v>2564</v>
      </c>
      <c r="D3" s="2" t="s">
        <v>26</v>
      </c>
      <c r="E3" s="2" t="s">
        <v>2565</v>
      </c>
      <c r="F3" s="4">
        <v>2014.0</v>
      </c>
      <c r="G3" s="4">
        <v>64.0</v>
      </c>
    </row>
    <row r="4" ht="22.5" customHeight="1">
      <c r="A4" s="2" t="s">
        <v>22</v>
      </c>
      <c r="B4" s="2" t="s">
        <v>2566</v>
      </c>
      <c r="C4" s="2" t="s">
        <v>2567</v>
      </c>
      <c r="D4" s="2" t="s">
        <v>26</v>
      </c>
      <c r="E4" s="2" t="s">
        <v>2568</v>
      </c>
      <c r="F4" s="4">
        <v>2017.0</v>
      </c>
      <c r="G4" s="4">
        <v>71.0</v>
      </c>
    </row>
    <row r="5" ht="22.5" customHeight="1">
      <c r="A5" s="2" t="s">
        <v>49</v>
      </c>
      <c r="B5" s="2" t="s">
        <v>2569</v>
      </c>
      <c r="C5" s="2" t="s">
        <v>2570</v>
      </c>
      <c r="D5" s="2" t="s">
        <v>26</v>
      </c>
      <c r="E5" s="2" t="s">
        <v>2571</v>
      </c>
      <c r="F5" s="4">
        <v>2021.0</v>
      </c>
      <c r="G5" s="4">
        <v>42.0</v>
      </c>
    </row>
    <row r="6" ht="22.5" customHeight="1">
      <c r="A6" s="2" t="s">
        <v>56</v>
      </c>
      <c r="B6" s="2" t="s">
        <v>2572</v>
      </c>
      <c r="C6" s="2" t="s">
        <v>2573</v>
      </c>
      <c r="D6" s="2" t="s">
        <v>26</v>
      </c>
      <c r="E6" s="2" t="s">
        <v>2574</v>
      </c>
      <c r="F6" s="4">
        <v>2020.0</v>
      </c>
      <c r="G6" s="4">
        <v>53.0</v>
      </c>
    </row>
    <row r="7" ht="22.5" customHeight="1">
      <c r="A7" s="2" t="s">
        <v>91</v>
      </c>
      <c r="B7" s="2" t="s">
        <v>2575</v>
      </c>
      <c r="C7" s="2" t="s">
        <v>2576</v>
      </c>
      <c r="D7" s="2" t="s">
        <v>44</v>
      </c>
      <c r="E7" s="2" t="s">
        <v>2577</v>
      </c>
      <c r="F7" s="4">
        <v>2015.0</v>
      </c>
      <c r="G7" s="4">
        <v>88.0</v>
      </c>
    </row>
    <row r="8" ht="22.5" customHeight="1">
      <c r="A8" s="2" t="s">
        <v>85</v>
      </c>
      <c r="B8" s="2" t="s">
        <v>2578</v>
      </c>
      <c r="C8" s="2" t="s">
        <v>2579</v>
      </c>
      <c r="D8" s="2" t="s">
        <v>44</v>
      </c>
      <c r="E8" s="2" t="s">
        <v>2580</v>
      </c>
      <c r="F8" s="4">
        <v>2023.0</v>
      </c>
      <c r="G8" s="4">
        <v>247.0</v>
      </c>
    </row>
    <row r="9" ht="22.5" customHeight="1">
      <c r="A9" s="2" t="s">
        <v>16</v>
      </c>
      <c r="B9" s="2" t="s">
        <v>2581</v>
      </c>
      <c r="C9" s="2" t="s">
        <v>2582</v>
      </c>
      <c r="D9" s="2" t="s">
        <v>2583</v>
      </c>
      <c r="E9" s="2" t="s">
        <v>2584</v>
      </c>
      <c r="F9" s="4">
        <v>2003.0</v>
      </c>
      <c r="G9" s="4">
        <v>5.0</v>
      </c>
    </row>
  </sheetData>
  <dataValidations>
    <dataValidation type="custom" allowBlank="1" showDropDown="1" sqref="F2:G9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7.88"/>
    <col customWidth="1" min="3" max="3" width="8.75"/>
    <col customWidth="1" min="4" max="4" width="26.75"/>
    <col customWidth="1" min="5" max="5" width="18.63"/>
    <col customWidth="1" min="6" max="6" width="16.25"/>
    <col customWidth="1" min="7" max="7" width="29.38"/>
    <col customWidth="1" min="8" max="8" width="13.13"/>
    <col customWidth="1" min="9" max="9" width="16.5"/>
    <col customWidth="1" min="10" max="10" width="23.5"/>
    <col customWidth="1" min="11" max="11" width="19.63"/>
    <col customWidth="1" min="12" max="12" width="15.63"/>
    <col customWidth="1" min="13" max="13" width="17.38"/>
    <col customWidth="1" min="14" max="14" width="12.13"/>
  </cols>
  <sheetData>
    <row r="1" ht="22.5" customHeight="1">
      <c r="A1" s="1" t="s">
        <v>260</v>
      </c>
      <c r="B1" s="1" t="s">
        <v>2585</v>
      </c>
      <c r="C1" s="11" t="s">
        <v>2586</v>
      </c>
      <c r="D1" s="1" t="s">
        <v>2587</v>
      </c>
      <c r="E1" s="1" t="s">
        <v>2588</v>
      </c>
      <c r="F1" s="1" t="s">
        <v>0</v>
      </c>
      <c r="G1" s="11" t="s">
        <v>2589</v>
      </c>
      <c r="H1" s="11" t="s">
        <v>2</v>
      </c>
      <c r="I1" s="1" t="s">
        <v>6</v>
      </c>
      <c r="J1" s="1" t="s">
        <v>2590</v>
      </c>
      <c r="K1" s="1" t="s">
        <v>2591</v>
      </c>
      <c r="L1" s="1" t="s">
        <v>2592</v>
      </c>
      <c r="M1" s="1" t="s">
        <v>2593</v>
      </c>
      <c r="N1" s="1" t="s">
        <v>2594</v>
      </c>
      <c r="O1" s="11" t="s">
        <v>2595</v>
      </c>
      <c r="P1" s="1" t="s">
        <v>2596</v>
      </c>
    </row>
    <row r="2" ht="22.5" customHeight="1">
      <c r="A2" s="2" t="s">
        <v>268</v>
      </c>
      <c r="B2" s="12">
        <v>46113.0</v>
      </c>
      <c r="C2" s="13" t="str">
        <f t="shared" ref="C2:C697" si="1">LEFT(B2,7)</f>
        <v>2026-04</v>
      </c>
      <c r="D2" s="12">
        <v>46140.0</v>
      </c>
      <c r="E2" s="12">
        <v>46142.0</v>
      </c>
      <c r="F2" s="2" t="s">
        <v>19</v>
      </c>
      <c r="G2" s="2" t="str">
        <f>VLOOKUP(F2,Tabela_1[#ALL],2,0)</f>
        <v>NorteAgro</v>
      </c>
      <c r="H2" s="2" t="str">
        <f>VLOOKUP(F2,Tabela_1[#ALL],3,0)</f>
        <v>alimenticio</v>
      </c>
      <c r="I2" s="2" t="s">
        <v>22</v>
      </c>
      <c r="J2" s="2">
        <v>2.0</v>
      </c>
      <c r="K2" s="14">
        <v>122923.0</v>
      </c>
      <c r="L2" s="14">
        <v>94340.0</v>
      </c>
      <c r="M2" s="14">
        <v>28583.0</v>
      </c>
      <c r="N2" s="14">
        <v>9929.0</v>
      </c>
      <c r="O2" s="14">
        <f t="shared" ref="O2:O697" si="2">K2-L2-N2</f>
        <v>18654</v>
      </c>
      <c r="P2" s="2" t="s">
        <v>2597</v>
      </c>
    </row>
    <row r="3" ht="22.5" customHeight="1">
      <c r="A3" s="2" t="s">
        <v>271</v>
      </c>
      <c r="B3" s="12">
        <v>46113.0</v>
      </c>
      <c r="C3" s="13" t="str">
        <f t="shared" si="1"/>
        <v>2026-04</v>
      </c>
      <c r="D3" s="12">
        <v>46132.0</v>
      </c>
      <c r="E3" s="12">
        <v>46140.0</v>
      </c>
      <c r="F3" s="2" t="s">
        <v>66</v>
      </c>
      <c r="G3" s="2" t="str">
        <f>VLOOKUP(F3,Tabela_1[#ALL],2,0)</f>
        <v>Vale Norte Atacarejo</v>
      </c>
      <c r="H3" s="2" t="str">
        <f>VLOOKUP(F3,Tabela_1[#ALL],3,0)</f>
        <v>varejo</v>
      </c>
      <c r="I3" s="2" t="s">
        <v>22</v>
      </c>
      <c r="J3" s="2">
        <v>2.0</v>
      </c>
      <c r="K3" s="14">
        <v>57383.2</v>
      </c>
      <c r="L3" s="14">
        <v>51235.0</v>
      </c>
      <c r="M3" s="14">
        <v>6148.2</v>
      </c>
      <c r="N3" s="14">
        <v>1469.0</v>
      </c>
      <c r="O3" s="14">
        <f t="shared" si="2"/>
        <v>4679.2</v>
      </c>
      <c r="P3" s="2" t="s">
        <v>2597</v>
      </c>
    </row>
    <row r="4" ht="22.5" customHeight="1">
      <c r="A4" s="2" t="s">
        <v>275</v>
      </c>
      <c r="B4" s="12">
        <v>46113.0</v>
      </c>
      <c r="C4" s="13" t="str">
        <f t="shared" si="1"/>
        <v>2026-04</v>
      </c>
      <c r="D4" s="12">
        <v>46129.0</v>
      </c>
      <c r="E4" s="12">
        <v>46130.0</v>
      </c>
      <c r="F4" s="2" t="s">
        <v>145</v>
      </c>
      <c r="G4" s="2" t="str">
        <f>VLOOKUP(F4,Tabela_1[#ALL],2,0)</f>
        <v>Mercado Vale Ltda</v>
      </c>
      <c r="H4" s="2" t="str">
        <f>VLOOKUP(F4,Tabela_1[#ALL],3,0)</f>
        <v>varejo</v>
      </c>
      <c r="I4" s="2" t="s">
        <v>91</v>
      </c>
      <c r="J4" s="2">
        <v>1.0</v>
      </c>
      <c r="K4" s="14">
        <v>26670.0</v>
      </c>
      <c r="L4" s="14">
        <v>21590.0</v>
      </c>
      <c r="M4" s="14">
        <v>5080.0</v>
      </c>
      <c r="N4" s="14">
        <v>1462.0</v>
      </c>
      <c r="O4" s="14">
        <f t="shared" si="2"/>
        <v>3618</v>
      </c>
      <c r="P4" s="2" t="s">
        <v>2597</v>
      </c>
    </row>
    <row r="5" ht="22.5" customHeight="1">
      <c r="A5" s="2" t="s">
        <v>277</v>
      </c>
      <c r="B5" s="12">
        <v>46113.0</v>
      </c>
      <c r="C5" s="13" t="str">
        <f t="shared" si="1"/>
        <v>2026-04</v>
      </c>
      <c r="D5" s="12">
        <v>46134.0</v>
      </c>
      <c r="E5" s="12">
        <v>46136.0</v>
      </c>
      <c r="F5" s="2" t="s">
        <v>221</v>
      </c>
      <c r="G5" s="2" t="str">
        <f>VLOOKUP(F5,Tabela_1[#ALL],2,0)</f>
        <v>EssenciaPura EPP</v>
      </c>
      <c r="H5" s="2" t="str">
        <f>VLOOKUP(F5,Tabela_1[#ALL],3,0)</f>
        <v>cosmetico</v>
      </c>
      <c r="I5" s="2" t="s">
        <v>49</v>
      </c>
      <c r="J5" s="2">
        <v>3.0</v>
      </c>
      <c r="K5" s="14">
        <v>4321.4</v>
      </c>
      <c r="L5" s="14">
        <v>3622.35</v>
      </c>
      <c r="M5" s="14">
        <v>699.05</v>
      </c>
      <c r="N5" s="14">
        <v>2490.0</v>
      </c>
      <c r="O5" s="14">
        <f t="shared" si="2"/>
        <v>-1790.95</v>
      </c>
      <c r="P5" s="2" t="s">
        <v>2597</v>
      </c>
    </row>
    <row r="6" ht="22.5" customHeight="1">
      <c r="A6" s="2" t="s">
        <v>286</v>
      </c>
      <c r="B6" s="12">
        <v>46113.0</v>
      </c>
      <c r="C6" s="13" t="str">
        <f t="shared" si="1"/>
        <v>2026-04</v>
      </c>
      <c r="D6" s="12">
        <v>46128.0</v>
      </c>
      <c r="E6" s="12">
        <v>46126.0</v>
      </c>
      <c r="F6" s="2" t="s">
        <v>245</v>
      </c>
      <c r="G6" s="2" t="str">
        <f>VLOOKUP(F6,Tabela_1[#ALL],2,0)</f>
        <v>Laticínios Boa Vista ME</v>
      </c>
      <c r="H6" s="2" t="str">
        <f>VLOOKUP(F6,Tabela_1[#ALL],3,0)</f>
        <v>alimenticio</v>
      </c>
      <c r="I6" s="2" t="s">
        <v>22</v>
      </c>
      <c r="J6" s="2">
        <v>1.0</v>
      </c>
      <c r="K6" s="14">
        <v>8463.0</v>
      </c>
      <c r="L6" s="14">
        <v>6286.8</v>
      </c>
      <c r="M6" s="14">
        <v>2176.2</v>
      </c>
      <c r="N6" s="14">
        <v>2731.0</v>
      </c>
      <c r="O6" s="14">
        <f t="shared" si="2"/>
        <v>-554.8</v>
      </c>
      <c r="P6" s="2" t="s">
        <v>2597</v>
      </c>
    </row>
    <row r="7" ht="22.5" customHeight="1">
      <c r="A7" s="2" t="s">
        <v>288</v>
      </c>
      <c r="B7" s="12">
        <v>46114.0</v>
      </c>
      <c r="C7" s="13" t="str">
        <f t="shared" si="1"/>
        <v>2026-04</v>
      </c>
      <c r="D7" s="12">
        <v>46144.0</v>
      </c>
      <c r="E7" s="12">
        <v>46143.0</v>
      </c>
      <c r="F7" s="2" t="s">
        <v>10</v>
      </c>
      <c r="G7" s="2" t="str">
        <f>VLOOKUP(F7,Tabela_1[#ALL],2,0)</f>
        <v>AgroMar</v>
      </c>
      <c r="H7" s="2" t="str">
        <f>VLOOKUP(F7,Tabela_1[#ALL],3,0)</f>
        <v>alimenticio</v>
      </c>
      <c r="I7" s="2" t="s">
        <v>16</v>
      </c>
      <c r="J7" s="2">
        <v>3.0</v>
      </c>
      <c r="K7" s="14">
        <v>171854.4</v>
      </c>
      <c r="L7" s="14">
        <v>128481.6</v>
      </c>
      <c r="M7" s="14">
        <v>43372.8</v>
      </c>
      <c r="N7" s="14">
        <v>8787.0</v>
      </c>
      <c r="O7" s="14">
        <f t="shared" si="2"/>
        <v>34585.8</v>
      </c>
      <c r="P7" s="2" t="s">
        <v>2597</v>
      </c>
    </row>
    <row r="8" ht="22.5" customHeight="1">
      <c r="A8" s="2" t="s">
        <v>295</v>
      </c>
      <c r="B8" s="12">
        <v>46114.0</v>
      </c>
      <c r="C8" s="13" t="str">
        <f t="shared" si="1"/>
        <v>2026-04</v>
      </c>
      <c r="D8" s="12">
        <v>46139.0</v>
      </c>
      <c r="E8" s="12">
        <v>46140.0</v>
      </c>
      <c r="F8" s="2" t="s">
        <v>23</v>
      </c>
      <c r="G8" s="2" t="str">
        <f>VLOOKUP(F8,Tabela_1[#ALL],2,0)</f>
        <v>Nova Era Cosméticos</v>
      </c>
      <c r="H8" s="2" t="str">
        <f>VLOOKUP(F8,Tabela_1[#ALL],3,0)</f>
        <v>cosmetico</v>
      </c>
      <c r="I8" s="2" t="s">
        <v>22</v>
      </c>
      <c r="J8" s="2">
        <v>2.0</v>
      </c>
      <c r="K8" s="14">
        <v>208862.0</v>
      </c>
      <c r="L8" s="14">
        <v>175075.5</v>
      </c>
      <c r="M8" s="14">
        <v>33786.5</v>
      </c>
      <c r="N8" s="14">
        <v>6137.0</v>
      </c>
      <c r="O8" s="14">
        <f t="shared" si="2"/>
        <v>27649.5</v>
      </c>
      <c r="P8" s="2" t="s">
        <v>2597</v>
      </c>
    </row>
    <row r="9" ht="22.5" customHeight="1">
      <c r="A9" s="2" t="s">
        <v>298</v>
      </c>
      <c r="B9" s="12">
        <v>46114.0</v>
      </c>
      <c r="C9" s="13" t="str">
        <f t="shared" si="1"/>
        <v>2026-04</v>
      </c>
      <c r="D9" s="12">
        <v>46134.0</v>
      </c>
      <c r="E9" s="12">
        <v>46131.0</v>
      </c>
      <c r="F9" s="2" t="s">
        <v>130</v>
      </c>
      <c r="G9" s="2" t="str">
        <f>VLOOKUP(F9,Tabela_1[#ALL],2,0)</f>
        <v>PackExpress Cooperativa</v>
      </c>
      <c r="H9" s="2" t="str">
        <f>VLOOKUP(F9,Tabela_1[#ALL],3,0)</f>
        <v>ecommerce</v>
      </c>
      <c r="I9" s="2" t="s">
        <v>39</v>
      </c>
      <c r="J9" s="2">
        <v>3.0</v>
      </c>
      <c r="K9" s="14">
        <v>17878.0</v>
      </c>
      <c r="L9" s="14">
        <v>14969.2</v>
      </c>
      <c r="M9" s="14">
        <v>2908.8</v>
      </c>
      <c r="N9" s="14">
        <v>2385.0</v>
      </c>
      <c r="O9" s="14">
        <f t="shared" si="2"/>
        <v>523.8</v>
      </c>
      <c r="P9" s="2" t="s">
        <v>2597</v>
      </c>
    </row>
    <row r="10" ht="22.5" customHeight="1">
      <c r="A10" s="2" t="s">
        <v>301</v>
      </c>
      <c r="B10" s="12">
        <v>46114.0</v>
      </c>
      <c r="C10" s="13" t="str">
        <f t="shared" si="1"/>
        <v>2026-04</v>
      </c>
      <c r="D10" s="12">
        <v>46136.0</v>
      </c>
      <c r="F10" s="2" t="s">
        <v>132</v>
      </c>
      <c r="G10" s="2" t="str">
        <f>VLOOKUP(F10,Tabela_1[#ALL],2,0)</f>
        <v>Doce Vale</v>
      </c>
      <c r="H10" s="2" t="str">
        <f>VLOOKUP(F10,Tabela_1[#ALL],3,0)</f>
        <v>alimenticio</v>
      </c>
      <c r="I10" s="2" t="s">
        <v>39</v>
      </c>
      <c r="J10" s="2">
        <v>1.0</v>
      </c>
      <c r="K10" s="14">
        <v>7442.4</v>
      </c>
      <c r="L10" s="14">
        <v>6024.8</v>
      </c>
      <c r="M10" s="14">
        <v>1417.6</v>
      </c>
      <c r="N10" s="14">
        <v>1582.0</v>
      </c>
      <c r="O10" s="14">
        <f t="shared" si="2"/>
        <v>-164.4</v>
      </c>
      <c r="P10" s="2" t="s">
        <v>2598</v>
      </c>
    </row>
    <row r="11" ht="22.5" customHeight="1">
      <c r="A11" s="2" t="s">
        <v>303</v>
      </c>
      <c r="B11" s="12">
        <v>46114.0</v>
      </c>
      <c r="C11" s="13" t="str">
        <f t="shared" si="1"/>
        <v>2026-04</v>
      </c>
      <c r="D11" s="12">
        <v>46135.0</v>
      </c>
      <c r="F11" s="2" t="s">
        <v>161</v>
      </c>
      <c r="G11" s="2" t="str">
        <f>VLOOKUP(F11,Tabela_1[#ALL],2,0)</f>
        <v>Distrib. Litoral Sul Ltda</v>
      </c>
      <c r="H11" s="2" t="str">
        <f>VLOOKUP(F11,Tabela_1[#ALL],3,0)</f>
        <v>distribuidor</v>
      </c>
      <c r="I11" s="2" t="s">
        <v>56</v>
      </c>
      <c r="J11" s="2">
        <v>1.0</v>
      </c>
      <c r="K11" s="14">
        <v>5331.2</v>
      </c>
      <c r="L11" s="14">
        <v>4468.8</v>
      </c>
      <c r="M11" s="14">
        <v>862.4</v>
      </c>
      <c r="N11" s="14">
        <v>1091.0</v>
      </c>
      <c r="O11" s="14">
        <f t="shared" si="2"/>
        <v>-228.6</v>
      </c>
      <c r="P11" s="2" t="s">
        <v>2598</v>
      </c>
    </row>
    <row r="12" ht="22.5" customHeight="1">
      <c r="A12" s="2" t="s">
        <v>305</v>
      </c>
      <c r="B12" s="12">
        <v>46114.0</v>
      </c>
      <c r="C12" s="13" t="str">
        <f t="shared" si="1"/>
        <v>2026-04</v>
      </c>
      <c r="D12" s="12">
        <v>46143.0</v>
      </c>
      <c r="E12" s="12">
        <v>46142.0</v>
      </c>
      <c r="F12" s="2" t="s">
        <v>193</v>
      </c>
      <c r="G12" s="2" t="str">
        <f>VLOOKUP(F12,Tabela_1[#ALL],2,0)</f>
        <v>Vita Floral S.A.</v>
      </c>
      <c r="H12" s="2" t="str">
        <f>VLOOKUP(F12,Tabela_1[#ALL],3,0)</f>
        <v>cosmetico</v>
      </c>
      <c r="I12" s="2" t="s">
        <v>56</v>
      </c>
      <c r="J12" s="2">
        <v>3.0</v>
      </c>
      <c r="K12" s="14">
        <v>15404.6</v>
      </c>
      <c r="L12" s="14">
        <v>12491.05</v>
      </c>
      <c r="M12" s="14">
        <v>2913.55</v>
      </c>
      <c r="N12" s="14">
        <v>4923.0</v>
      </c>
      <c r="O12" s="14">
        <f t="shared" si="2"/>
        <v>-2009.45</v>
      </c>
      <c r="P12" s="2" t="s">
        <v>2597</v>
      </c>
    </row>
    <row r="13" ht="22.5" customHeight="1">
      <c r="A13" s="2" t="s">
        <v>309</v>
      </c>
      <c r="B13" s="12">
        <v>46114.0</v>
      </c>
      <c r="C13" s="13" t="str">
        <f t="shared" si="1"/>
        <v>2026-04</v>
      </c>
      <c r="D13" s="12">
        <v>46132.0</v>
      </c>
      <c r="E13" s="12">
        <v>46133.0</v>
      </c>
      <c r="F13" s="2" t="s">
        <v>193</v>
      </c>
      <c r="G13" s="2" t="str">
        <f>VLOOKUP(F13,Tabela_1[#ALL],2,0)</f>
        <v>Vita Floral S.A.</v>
      </c>
      <c r="H13" s="2" t="str">
        <f>VLOOKUP(F13,Tabela_1[#ALL],3,0)</f>
        <v>cosmetico</v>
      </c>
      <c r="I13" s="2" t="s">
        <v>56</v>
      </c>
      <c r="J13" s="2">
        <v>2.0</v>
      </c>
      <c r="K13" s="14">
        <v>5777.1</v>
      </c>
      <c r="L13" s="14">
        <v>4415.4</v>
      </c>
      <c r="M13" s="14">
        <v>1361.7</v>
      </c>
      <c r="N13" s="14">
        <v>5679.0</v>
      </c>
      <c r="O13" s="14">
        <f t="shared" si="2"/>
        <v>-4317.3</v>
      </c>
      <c r="P13" s="2" t="s">
        <v>2597</v>
      </c>
    </row>
    <row r="14" ht="22.5" customHeight="1">
      <c r="A14" s="2" t="s">
        <v>313</v>
      </c>
      <c r="B14" s="12">
        <v>46114.0</v>
      </c>
      <c r="C14" s="13" t="str">
        <f t="shared" si="1"/>
        <v>2026-04</v>
      </c>
      <c r="D14" s="12">
        <v>46143.0</v>
      </c>
      <c r="E14" s="12">
        <v>46140.0</v>
      </c>
      <c r="F14" s="2" t="s">
        <v>219</v>
      </c>
      <c r="G14" s="2" t="str">
        <f>VLOOKUP(F14,Tabela_1[#ALL],2,0)</f>
        <v>Tradição Alimentos Comércio</v>
      </c>
      <c r="H14" s="2" t="str">
        <f>VLOOKUP(F14,Tabela_1[#ALL],3,0)</f>
        <v>alimenticio</v>
      </c>
      <c r="I14" s="2" t="s">
        <v>56</v>
      </c>
      <c r="J14" s="2">
        <v>2.0</v>
      </c>
      <c r="K14" s="14">
        <v>15100.4</v>
      </c>
      <c r="L14" s="14">
        <v>12853.2</v>
      </c>
      <c r="M14" s="14">
        <v>2247.2</v>
      </c>
      <c r="N14" s="14">
        <v>73.0</v>
      </c>
      <c r="O14" s="14">
        <f t="shared" si="2"/>
        <v>2174.2</v>
      </c>
      <c r="P14" s="2" t="s">
        <v>2597</v>
      </c>
    </row>
    <row r="15" ht="22.5" customHeight="1">
      <c r="A15" s="2" t="s">
        <v>316</v>
      </c>
      <c r="B15" s="12">
        <v>46114.0</v>
      </c>
      <c r="C15" s="13" t="str">
        <f t="shared" si="1"/>
        <v>2026-04</v>
      </c>
      <c r="D15" s="12">
        <v>46142.0</v>
      </c>
      <c r="E15" s="12">
        <v>46153.0</v>
      </c>
      <c r="F15" s="2" t="s">
        <v>253</v>
      </c>
      <c r="G15" s="2" t="str">
        <f>VLOOKUP(F15,Tabela_1[#ALL],2,0)</f>
        <v>Atacadão Centro Oeste S.A.</v>
      </c>
      <c r="H15" s="2" t="str">
        <f>VLOOKUP(F15,Tabela_1[#ALL],3,0)</f>
        <v>distribuidor</v>
      </c>
      <c r="I15" s="2" t="s">
        <v>22</v>
      </c>
      <c r="J15" s="2">
        <v>1.0</v>
      </c>
      <c r="K15" s="14">
        <v>10835.5</v>
      </c>
      <c r="L15" s="14">
        <v>8501.7</v>
      </c>
      <c r="M15" s="14">
        <v>2333.8</v>
      </c>
      <c r="N15" s="14">
        <v>2267.0</v>
      </c>
      <c r="O15" s="14">
        <f t="shared" si="2"/>
        <v>66.8</v>
      </c>
      <c r="P15" s="2" t="s">
        <v>2599</v>
      </c>
    </row>
    <row r="16" ht="22.5" customHeight="1">
      <c r="A16" s="2" t="s">
        <v>319</v>
      </c>
      <c r="B16" s="12">
        <v>46114.0</v>
      </c>
      <c r="C16" s="13" t="str">
        <f t="shared" si="1"/>
        <v>2026-04</v>
      </c>
      <c r="D16" s="12">
        <v>46149.0</v>
      </c>
      <c r="E16" s="12">
        <v>46151.0</v>
      </c>
      <c r="F16" s="2" t="s">
        <v>257</v>
      </c>
      <c r="G16" s="2" t="str">
        <f>VLOOKUP(F16,Tabela_1[#ALL],2,0)</f>
        <v>Mercado Vale Ltda (Londrina)</v>
      </c>
      <c r="H16" s="2" t="str">
        <f>VLOOKUP(F16,Tabela_1[#ALL],3,0)</f>
        <v>varejo</v>
      </c>
      <c r="I16" s="2" t="s">
        <v>39</v>
      </c>
      <c r="J16" s="2">
        <v>1.0</v>
      </c>
      <c r="K16" s="14">
        <v>1906.8</v>
      </c>
      <c r="L16" s="14">
        <v>1702.5</v>
      </c>
      <c r="M16" s="14">
        <v>204.3</v>
      </c>
      <c r="N16" s="14">
        <v>3020.0</v>
      </c>
      <c r="O16" s="14">
        <f t="shared" si="2"/>
        <v>-2815.7</v>
      </c>
      <c r="P16" s="2" t="s">
        <v>2597</v>
      </c>
    </row>
    <row r="17" ht="22.5" customHeight="1">
      <c r="A17" s="2" t="s">
        <v>322</v>
      </c>
      <c r="B17" s="12">
        <v>46115.0</v>
      </c>
      <c r="C17" s="13" t="str">
        <f t="shared" si="1"/>
        <v>2026-04</v>
      </c>
      <c r="D17" s="12">
        <v>46149.0</v>
      </c>
      <c r="E17" s="12">
        <v>46151.0</v>
      </c>
      <c r="F17" s="2" t="s">
        <v>23</v>
      </c>
      <c r="G17" s="2" t="str">
        <f>VLOOKUP(F17,Tabela_1[#ALL],2,0)</f>
        <v>Nova Era Cosméticos</v>
      </c>
      <c r="H17" s="2" t="str">
        <f>VLOOKUP(F17,Tabela_1[#ALL],3,0)</f>
        <v>cosmetico</v>
      </c>
      <c r="I17" s="2" t="s">
        <v>22</v>
      </c>
      <c r="J17" s="2">
        <v>1.0</v>
      </c>
      <c r="K17" s="14">
        <v>116524.8</v>
      </c>
      <c r="L17" s="14">
        <v>97675.2</v>
      </c>
      <c r="M17" s="14">
        <v>18849.6</v>
      </c>
      <c r="N17" s="14">
        <v>7305.0</v>
      </c>
      <c r="O17" s="14">
        <f t="shared" si="2"/>
        <v>11544.6</v>
      </c>
      <c r="P17" s="2" t="s">
        <v>2597</v>
      </c>
    </row>
    <row r="18" ht="22.5" customHeight="1">
      <c r="A18" s="2" t="s">
        <v>326</v>
      </c>
      <c r="B18" s="12">
        <v>46115.0</v>
      </c>
      <c r="C18" s="13" t="str">
        <f t="shared" si="1"/>
        <v>2026-04</v>
      </c>
      <c r="D18" s="12">
        <v>46147.0</v>
      </c>
      <c r="E18" s="12">
        <v>46156.0</v>
      </c>
      <c r="F18" s="2" t="s">
        <v>136</v>
      </c>
      <c r="G18" s="2" t="str">
        <f>VLOOKUP(F18,Tabela_1[#ALL],2,0)</f>
        <v>Varejo Familiar Ltda</v>
      </c>
      <c r="H18" s="2" t="str">
        <f>VLOOKUP(F18,Tabela_1[#ALL],3,0)</f>
        <v>varejo</v>
      </c>
      <c r="I18" s="2" t="s">
        <v>49</v>
      </c>
      <c r="J18" s="2">
        <v>2.0</v>
      </c>
      <c r="K18" s="14">
        <v>7575.1</v>
      </c>
      <c r="L18" s="14">
        <v>6353.3</v>
      </c>
      <c r="M18" s="14">
        <v>1221.8</v>
      </c>
      <c r="N18" s="14">
        <v>583.0</v>
      </c>
      <c r="O18" s="14">
        <f t="shared" si="2"/>
        <v>638.8</v>
      </c>
      <c r="P18" s="2" t="s">
        <v>2599</v>
      </c>
    </row>
    <row r="19" ht="22.5" customHeight="1">
      <c r="A19" s="2" t="s">
        <v>329</v>
      </c>
      <c r="B19" s="12">
        <v>46115.0</v>
      </c>
      <c r="C19" s="13" t="str">
        <f t="shared" si="1"/>
        <v>2026-04</v>
      </c>
      <c r="D19" s="12">
        <v>46131.0</v>
      </c>
      <c r="E19" s="12">
        <v>46130.0</v>
      </c>
      <c r="F19" s="2" t="s">
        <v>167</v>
      </c>
      <c r="G19" s="2" t="str">
        <f>VLOOKUP(F19,Tabela_1[#ALL],2,0)</f>
        <v>Granoma Alimentos S.A.</v>
      </c>
      <c r="H19" s="2" t="str">
        <f>VLOOKUP(F19,Tabela_1[#ALL],3,0)</f>
        <v>alimenticio</v>
      </c>
      <c r="I19" s="2" t="s">
        <v>56</v>
      </c>
      <c r="J19" s="2">
        <v>1.0</v>
      </c>
      <c r="K19" s="14">
        <v>67485.6</v>
      </c>
      <c r="L19" s="14">
        <v>60255.0</v>
      </c>
      <c r="M19" s="14">
        <v>7230.6</v>
      </c>
      <c r="N19" s="14">
        <v>5882.0</v>
      </c>
      <c r="O19" s="14">
        <f t="shared" si="2"/>
        <v>1348.6</v>
      </c>
      <c r="P19" s="2" t="s">
        <v>2597</v>
      </c>
    </row>
    <row r="20" ht="22.5" customHeight="1">
      <c r="A20" s="2" t="s">
        <v>331</v>
      </c>
      <c r="B20" s="12">
        <v>46115.0</v>
      </c>
      <c r="C20" s="13" t="str">
        <f t="shared" si="1"/>
        <v>2026-04</v>
      </c>
      <c r="D20" s="12">
        <v>46134.0</v>
      </c>
      <c r="E20" s="12">
        <v>46132.0</v>
      </c>
      <c r="F20" s="2" t="s">
        <v>169</v>
      </c>
      <c r="G20" s="2" t="str">
        <f>VLOOKUP(F20,Tabela_1[#ALL],2,0)</f>
        <v>Supermercados Vivo EPP</v>
      </c>
      <c r="H20" s="2" t="str">
        <f>VLOOKUP(F20,Tabela_1[#ALL],3,0)</f>
        <v>varejo</v>
      </c>
      <c r="I20" s="2" t="s">
        <v>91</v>
      </c>
      <c r="J20" s="2">
        <v>3.0</v>
      </c>
      <c r="K20" s="14">
        <v>4710.3</v>
      </c>
      <c r="L20" s="14">
        <v>3734.9</v>
      </c>
      <c r="M20" s="14">
        <v>975.4</v>
      </c>
      <c r="N20" s="14">
        <v>779.0</v>
      </c>
      <c r="O20" s="14">
        <f t="shared" si="2"/>
        <v>196.4</v>
      </c>
      <c r="P20" s="2" t="s">
        <v>2597</v>
      </c>
    </row>
    <row r="21" ht="22.5" customHeight="1">
      <c r="A21" s="2" t="s">
        <v>340</v>
      </c>
      <c r="B21" s="12">
        <v>46115.0</v>
      </c>
      <c r="C21" s="13" t="str">
        <f t="shared" si="1"/>
        <v>2026-04</v>
      </c>
      <c r="D21" s="12">
        <v>46149.0</v>
      </c>
      <c r="E21" s="12">
        <v>46147.0</v>
      </c>
      <c r="F21" s="2" t="s">
        <v>175</v>
      </c>
      <c r="G21" s="2" t="str">
        <f>VLOOKUP(F21,Tabela_1[#ALL],2,0)</f>
        <v>Nutrigrão Comércio</v>
      </c>
      <c r="H21" s="2" t="str">
        <f>VLOOKUP(F21,Tabela_1[#ALL],3,0)</f>
        <v>alimenticio</v>
      </c>
      <c r="I21" s="2" t="s">
        <v>49</v>
      </c>
      <c r="J21" s="2">
        <v>2.0</v>
      </c>
      <c r="K21" s="14">
        <v>31209.0</v>
      </c>
      <c r="L21" s="14">
        <v>23964.0</v>
      </c>
      <c r="M21" s="14">
        <v>7245.0</v>
      </c>
      <c r="N21" s="14">
        <v>2621.0</v>
      </c>
      <c r="O21" s="14">
        <f t="shared" si="2"/>
        <v>4624</v>
      </c>
      <c r="P21" s="2" t="s">
        <v>2597</v>
      </c>
    </row>
    <row r="22" ht="22.5" customHeight="1">
      <c r="A22" s="2" t="s">
        <v>343</v>
      </c>
      <c r="B22" s="12">
        <v>46115.0</v>
      </c>
      <c r="C22" s="13" t="str">
        <f t="shared" si="1"/>
        <v>2026-04</v>
      </c>
      <c r="D22" s="12">
        <v>46145.0</v>
      </c>
      <c r="E22" s="12">
        <v>46142.0</v>
      </c>
      <c r="F22" s="2" t="s">
        <v>191</v>
      </c>
      <c r="G22" s="2" t="str">
        <f>VLOOKUP(F22,Tabela_1[#ALL],2,0)</f>
        <v>Solene Cosméticos Ltda (São Paulo)</v>
      </c>
      <c r="H22" s="2" t="str">
        <f>VLOOKUP(F22,Tabela_1[#ALL],3,0)</f>
        <v>cosmetico</v>
      </c>
      <c r="I22" s="2" t="s">
        <v>49</v>
      </c>
      <c r="J22" s="2">
        <v>2.0</v>
      </c>
      <c r="K22" s="14">
        <v>3404.0</v>
      </c>
      <c r="L22" s="14">
        <v>2713.2</v>
      </c>
      <c r="M22" s="14">
        <v>690.8</v>
      </c>
      <c r="N22" s="14">
        <v>6464.0</v>
      </c>
      <c r="O22" s="14">
        <f t="shared" si="2"/>
        <v>-5773.2</v>
      </c>
      <c r="P22" s="2" t="s">
        <v>2597</v>
      </c>
    </row>
    <row r="23" ht="22.5" customHeight="1">
      <c r="A23" s="2" t="s">
        <v>346</v>
      </c>
      <c r="B23" s="12">
        <v>46116.0</v>
      </c>
      <c r="C23" s="13" t="str">
        <f t="shared" si="1"/>
        <v>2026-04</v>
      </c>
      <c r="D23" s="12">
        <v>46142.0</v>
      </c>
      <c r="E23" s="12">
        <v>46139.0</v>
      </c>
      <c r="F23" s="2" t="s">
        <v>45</v>
      </c>
      <c r="G23" s="2" t="str">
        <f>VLOOKUP(F23,Tabela_1[#ALL],2,0)</f>
        <v>Bell Beauty</v>
      </c>
      <c r="H23" s="2" t="str">
        <f>VLOOKUP(F23,Tabela_1[#ALL],3,0)</f>
        <v>cosmetico</v>
      </c>
      <c r="I23" s="2" t="s">
        <v>49</v>
      </c>
      <c r="J23" s="2">
        <v>3.0</v>
      </c>
      <c r="K23" s="14">
        <v>168167.2</v>
      </c>
      <c r="L23" s="14">
        <v>130129.5</v>
      </c>
      <c r="M23" s="14">
        <v>38037.7</v>
      </c>
      <c r="N23" s="14">
        <v>14949.0</v>
      </c>
      <c r="O23" s="14">
        <f t="shared" si="2"/>
        <v>23088.7</v>
      </c>
      <c r="P23" s="2" t="s">
        <v>2597</v>
      </c>
    </row>
    <row r="24" ht="22.5" customHeight="1">
      <c r="A24" s="2" t="s">
        <v>353</v>
      </c>
      <c r="B24" s="12">
        <v>46116.0</v>
      </c>
      <c r="C24" s="13" t="str">
        <f t="shared" si="1"/>
        <v>2026-04</v>
      </c>
      <c r="D24" s="12">
        <v>46150.0</v>
      </c>
      <c r="E24" s="12">
        <v>46152.0</v>
      </c>
      <c r="F24" s="2" t="s">
        <v>95</v>
      </c>
      <c r="G24" s="2" t="str">
        <f>VLOOKUP(F24,Tabela_1[#ALL],2,0)</f>
        <v>Mercado Vale</v>
      </c>
      <c r="H24" s="2" t="str">
        <f>VLOOKUP(F24,Tabela_1[#ALL],3,0)</f>
        <v>varejo</v>
      </c>
      <c r="I24" s="2" t="s">
        <v>56</v>
      </c>
      <c r="J24" s="2">
        <v>3.0</v>
      </c>
      <c r="K24" s="14">
        <v>5622.4</v>
      </c>
      <c r="L24" s="14">
        <v>4863.9</v>
      </c>
      <c r="M24" s="14">
        <v>758.5</v>
      </c>
      <c r="N24" s="14">
        <v>4211.0</v>
      </c>
      <c r="O24" s="14">
        <f t="shared" si="2"/>
        <v>-3452.5</v>
      </c>
      <c r="P24" s="2" t="s">
        <v>2597</v>
      </c>
    </row>
    <row r="25" ht="22.5" customHeight="1">
      <c r="A25" s="2" t="s">
        <v>359</v>
      </c>
      <c r="B25" s="12">
        <v>46116.0</v>
      </c>
      <c r="C25" s="13" t="str">
        <f t="shared" si="1"/>
        <v>2026-04</v>
      </c>
      <c r="D25" s="12">
        <v>46149.0</v>
      </c>
      <c r="E25" s="12">
        <v>46151.0</v>
      </c>
      <c r="F25" s="2" t="s">
        <v>98</v>
      </c>
      <c r="G25" s="2" t="str">
        <f>VLOOKUP(F25,Tabela_1[#ALL],2,0)</f>
        <v>Atacarejo Maringá</v>
      </c>
      <c r="H25" s="2" t="str">
        <f>VLOOKUP(F25,Tabela_1[#ALL],3,0)</f>
        <v>distribuidor</v>
      </c>
      <c r="I25" s="2" t="s">
        <v>43</v>
      </c>
      <c r="J25" s="2">
        <v>1.0</v>
      </c>
      <c r="K25" s="14">
        <v>29425.2</v>
      </c>
      <c r="L25" s="14">
        <v>23119.8</v>
      </c>
      <c r="M25" s="14">
        <v>6305.4</v>
      </c>
      <c r="N25" s="14">
        <v>3210.0</v>
      </c>
      <c r="O25" s="14">
        <f t="shared" si="2"/>
        <v>3095.4</v>
      </c>
      <c r="P25" s="2" t="s">
        <v>2597</v>
      </c>
    </row>
    <row r="26" ht="22.5" customHeight="1">
      <c r="A26" s="2" t="s">
        <v>362</v>
      </c>
      <c r="B26" s="12">
        <v>46116.0</v>
      </c>
      <c r="C26" s="13" t="str">
        <f t="shared" si="1"/>
        <v>2026-04</v>
      </c>
      <c r="D26" s="12">
        <v>46132.0</v>
      </c>
      <c r="E26" s="12">
        <v>46132.0</v>
      </c>
      <c r="F26" s="2" t="s">
        <v>140</v>
      </c>
      <c r="G26" s="2" t="str">
        <f>VLOOKUP(F26,Tabela_1[#ALL],2,0)</f>
        <v>EssenciaPura Comércio</v>
      </c>
      <c r="H26" s="2" t="str">
        <f>VLOOKUP(F26,Tabela_1[#ALL],3,0)</f>
        <v>cosmetico</v>
      </c>
      <c r="I26" s="2" t="s">
        <v>56</v>
      </c>
      <c r="J26" s="2">
        <v>2.0</v>
      </c>
      <c r="K26" s="14">
        <v>10421.0</v>
      </c>
      <c r="L26" s="14">
        <v>8306.2</v>
      </c>
      <c r="M26" s="14">
        <v>2114.8</v>
      </c>
      <c r="N26" s="14">
        <v>2541.0</v>
      </c>
      <c r="O26" s="14">
        <f t="shared" si="2"/>
        <v>-426.2</v>
      </c>
      <c r="P26" s="2" t="s">
        <v>2597</v>
      </c>
    </row>
    <row r="27" ht="22.5" customHeight="1">
      <c r="A27" s="2" t="s">
        <v>364</v>
      </c>
      <c r="B27" s="12">
        <v>46116.0</v>
      </c>
      <c r="C27" s="13" t="str">
        <f t="shared" si="1"/>
        <v>2026-04</v>
      </c>
      <c r="D27" s="12">
        <v>46143.0</v>
      </c>
      <c r="E27" s="12">
        <v>46140.0</v>
      </c>
      <c r="F27" s="2" t="s">
        <v>153</v>
      </c>
      <c r="G27" s="2" t="str">
        <f>VLOOKUP(F27,Tabela_1[#ALL],2,0)</f>
        <v>Mercatto S.A.</v>
      </c>
      <c r="H27" s="2" t="str">
        <f>VLOOKUP(F27,Tabela_1[#ALL],3,0)</f>
        <v>varejo</v>
      </c>
      <c r="I27" s="2" t="s">
        <v>91</v>
      </c>
      <c r="J27" s="2">
        <v>2.0</v>
      </c>
      <c r="K27" s="14">
        <v>4432.4</v>
      </c>
      <c r="L27" s="14">
        <v>3772.7</v>
      </c>
      <c r="M27" s="14">
        <v>659.7</v>
      </c>
      <c r="N27" s="14">
        <v>1077.0</v>
      </c>
      <c r="O27" s="14">
        <f t="shared" si="2"/>
        <v>-417.3</v>
      </c>
      <c r="P27" s="2" t="s">
        <v>2597</v>
      </c>
    </row>
    <row r="28" ht="22.5" customHeight="1">
      <c r="A28" s="2" t="s">
        <v>368</v>
      </c>
      <c r="B28" s="12">
        <v>46116.0</v>
      </c>
      <c r="C28" s="13" t="str">
        <f t="shared" si="1"/>
        <v>2026-04</v>
      </c>
      <c r="D28" s="12">
        <v>46145.0</v>
      </c>
      <c r="F28" s="2" t="s">
        <v>169</v>
      </c>
      <c r="G28" s="2" t="str">
        <f>VLOOKUP(F28,Tabela_1[#ALL],2,0)</f>
        <v>Supermercados Vivo EPP</v>
      </c>
      <c r="H28" s="2" t="str">
        <f>VLOOKUP(F28,Tabela_1[#ALL],3,0)</f>
        <v>varejo</v>
      </c>
      <c r="I28" s="2" t="s">
        <v>91</v>
      </c>
      <c r="J28" s="2">
        <v>2.0</v>
      </c>
      <c r="K28" s="14">
        <v>9490.0</v>
      </c>
      <c r="L28" s="14">
        <v>7446.0</v>
      </c>
      <c r="M28" s="14">
        <v>2044.0</v>
      </c>
      <c r="N28" s="14">
        <v>853.0</v>
      </c>
      <c r="O28" s="14">
        <f t="shared" si="2"/>
        <v>1191</v>
      </c>
      <c r="P28" s="2" t="s">
        <v>2598</v>
      </c>
    </row>
    <row r="29" ht="22.5" customHeight="1">
      <c r="A29" s="2" t="s">
        <v>369</v>
      </c>
      <c r="B29" s="12">
        <v>46116.0</v>
      </c>
      <c r="C29" s="13" t="str">
        <f t="shared" si="1"/>
        <v>2026-04</v>
      </c>
      <c r="D29" s="12">
        <v>46150.0</v>
      </c>
      <c r="E29" s="12">
        <v>46148.0</v>
      </c>
      <c r="F29" s="2" t="s">
        <v>205</v>
      </c>
      <c r="G29" s="2" t="str">
        <f>VLOOKUP(F29,Tabela_1[#ALL],2,0)</f>
        <v>Farmalivre Indústria</v>
      </c>
      <c r="H29" s="2" t="str">
        <f>VLOOKUP(F29,Tabela_1[#ALL],3,0)</f>
        <v>farmaceutico</v>
      </c>
      <c r="I29" s="2" t="s">
        <v>91</v>
      </c>
      <c r="J29" s="2">
        <v>1.0</v>
      </c>
      <c r="K29" s="14">
        <v>3948.0</v>
      </c>
      <c r="L29" s="14">
        <v>3102.0</v>
      </c>
      <c r="M29" s="14">
        <v>846.0</v>
      </c>
      <c r="N29" s="14">
        <v>1416.0</v>
      </c>
      <c r="O29" s="14">
        <f t="shared" si="2"/>
        <v>-570</v>
      </c>
      <c r="P29" s="2" t="s">
        <v>2597</v>
      </c>
    </row>
    <row r="30" ht="22.5" customHeight="1">
      <c r="A30" s="2" t="s">
        <v>370</v>
      </c>
      <c r="B30" s="12">
        <v>46117.0</v>
      </c>
      <c r="C30" s="13" t="str">
        <f t="shared" si="1"/>
        <v>2026-04</v>
      </c>
      <c r="D30" s="12">
        <v>46147.0</v>
      </c>
      <c r="E30" s="12">
        <v>46146.0</v>
      </c>
      <c r="F30" s="2" t="s">
        <v>10</v>
      </c>
      <c r="G30" s="2" t="str">
        <f>VLOOKUP(F30,Tabela_1[#ALL],2,0)</f>
        <v>AgroMar</v>
      </c>
      <c r="H30" s="2" t="str">
        <f>VLOOKUP(F30,Tabela_1[#ALL],3,0)</f>
        <v>alimenticio</v>
      </c>
      <c r="I30" s="2" t="s">
        <v>16</v>
      </c>
      <c r="J30" s="2">
        <v>3.0</v>
      </c>
      <c r="K30" s="14">
        <v>242474.6</v>
      </c>
      <c r="L30" s="14">
        <v>187011.7</v>
      </c>
      <c r="M30" s="14">
        <v>55462.9</v>
      </c>
      <c r="N30" s="14">
        <v>11679.0</v>
      </c>
      <c r="O30" s="14">
        <f t="shared" si="2"/>
        <v>43783.9</v>
      </c>
      <c r="P30" s="2" t="s">
        <v>2597</v>
      </c>
    </row>
    <row r="31" ht="22.5" customHeight="1">
      <c r="A31" s="2" t="s">
        <v>376</v>
      </c>
      <c r="B31" s="12">
        <v>46117.0</v>
      </c>
      <c r="C31" s="13" t="str">
        <f t="shared" si="1"/>
        <v>2026-04</v>
      </c>
      <c r="D31" s="12">
        <v>46140.0</v>
      </c>
      <c r="E31" s="12">
        <v>46141.0</v>
      </c>
      <c r="F31" s="2" t="s">
        <v>31</v>
      </c>
      <c r="G31" s="2" t="str">
        <f>VLOOKUP(F31,Tabela_1[#ALL],2,0)</f>
        <v>Distribuidora Sul PR</v>
      </c>
      <c r="H31" s="2" t="str">
        <f>VLOOKUP(F31,Tabela_1[#ALL],3,0)</f>
        <v>distribuidor</v>
      </c>
      <c r="I31" s="2" t="s">
        <v>16</v>
      </c>
      <c r="J31" s="2">
        <v>2.0</v>
      </c>
      <c r="K31" s="14">
        <v>108715.9</v>
      </c>
      <c r="L31" s="14">
        <v>86654.1</v>
      </c>
      <c r="M31" s="14">
        <v>22061.8</v>
      </c>
      <c r="N31" s="14">
        <v>12110.0</v>
      </c>
      <c r="O31" s="14">
        <f t="shared" si="2"/>
        <v>9951.8</v>
      </c>
      <c r="P31" s="2" t="s">
        <v>2597</v>
      </c>
    </row>
    <row r="32" ht="22.5" customHeight="1">
      <c r="A32" s="2" t="s">
        <v>383</v>
      </c>
      <c r="B32" s="12">
        <v>46117.0</v>
      </c>
      <c r="C32" s="13" t="str">
        <f t="shared" si="1"/>
        <v>2026-04</v>
      </c>
      <c r="D32" s="12">
        <v>46152.0</v>
      </c>
      <c r="E32" s="12">
        <v>46150.0</v>
      </c>
      <c r="F32" s="2" t="s">
        <v>61</v>
      </c>
      <c r="G32" s="2" t="str">
        <f>VLOOKUP(F32,Tabela_1[#ALL],2,0)</f>
        <v>Mercosul Atacado</v>
      </c>
      <c r="H32" s="2" t="str">
        <f>VLOOKUP(F32,Tabela_1[#ALL],3,0)</f>
        <v>distribuidor</v>
      </c>
      <c r="I32" s="2" t="s">
        <v>39</v>
      </c>
      <c r="J32" s="2">
        <v>2.0</v>
      </c>
      <c r="K32" s="14">
        <v>13162.8</v>
      </c>
      <c r="L32" s="14">
        <v>10655.6</v>
      </c>
      <c r="M32" s="14">
        <v>2507.2</v>
      </c>
      <c r="N32" s="14">
        <v>4084.0</v>
      </c>
      <c r="O32" s="14">
        <f t="shared" si="2"/>
        <v>-1576.8</v>
      </c>
      <c r="P32" s="2" t="s">
        <v>2597</v>
      </c>
    </row>
    <row r="33" ht="22.5" customHeight="1">
      <c r="A33" s="2" t="s">
        <v>385</v>
      </c>
      <c r="B33" s="12">
        <v>46117.0</v>
      </c>
      <c r="C33" s="13" t="str">
        <f t="shared" si="1"/>
        <v>2026-04</v>
      </c>
      <c r="D33" s="12">
        <v>46147.0</v>
      </c>
      <c r="E33" s="12">
        <v>46145.0</v>
      </c>
      <c r="F33" s="2" t="s">
        <v>88</v>
      </c>
      <c r="G33" s="2" t="str">
        <f>VLOOKUP(F33,Tabela_1[#ALL],2,0)</f>
        <v>Atacadão Centro Oeste</v>
      </c>
      <c r="H33" s="2" t="str">
        <f>VLOOKUP(F33,Tabela_1[#ALL],3,0)</f>
        <v>distribuidor</v>
      </c>
      <c r="I33" s="2" t="s">
        <v>91</v>
      </c>
      <c r="J33" s="2">
        <v>2.0</v>
      </c>
      <c r="K33" s="14">
        <v>6868.4</v>
      </c>
      <c r="L33" s="14">
        <v>5846.2</v>
      </c>
      <c r="M33" s="14">
        <v>1022.2</v>
      </c>
      <c r="N33" s="14">
        <v>694.0</v>
      </c>
      <c r="O33" s="14">
        <f t="shared" si="2"/>
        <v>328.2</v>
      </c>
      <c r="P33" s="2" t="s">
        <v>2597</v>
      </c>
    </row>
    <row r="34" ht="22.5" customHeight="1">
      <c r="A34" s="2" t="s">
        <v>388</v>
      </c>
      <c r="B34" s="12">
        <v>46117.0</v>
      </c>
      <c r="C34" s="13" t="str">
        <f t="shared" si="1"/>
        <v>2026-04</v>
      </c>
      <c r="D34" s="12">
        <v>46136.0</v>
      </c>
      <c r="E34" s="12">
        <v>46135.0</v>
      </c>
      <c r="F34" s="2" t="s">
        <v>101</v>
      </c>
      <c r="G34" s="2" t="str">
        <f>VLOOKUP(F34,Tabela_1[#ALL],2,0)</f>
        <v>Vivê Beauty</v>
      </c>
      <c r="H34" s="2" t="str">
        <f>VLOOKUP(F34,Tabela_1[#ALL],3,0)</f>
        <v>cosmetico</v>
      </c>
      <c r="I34" s="2" t="s">
        <v>91</v>
      </c>
      <c r="J34" s="2">
        <v>1.0</v>
      </c>
      <c r="K34" s="14">
        <v>2954.0</v>
      </c>
      <c r="L34" s="14">
        <v>2637.5</v>
      </c>
      <c r="M34" s="14">
        <v>316.5</v>
      </c>
      <c r="N34" s="14">
        <v>1493.0</v>
      </c>
      <c r="O34" s="14">
        <f t="shared" si="2"/>
        <v>-1176.5</v>
      </c>
      <c r="P34" s="2" t="s">
        <v>2597</v>
      </c>
    </row>
    <row r="35" ht="22.5" customHeight="1">
      <c r="A35" s="2" t="s">
        <v>390</v>
      </c>
      <c r="B35" s="12">
        <v>46117.0</v>
      </c>
      <c r="C35" s="13" t="str">
        <f t="shared" si="1"/>
        <v>2026-04</v>
      </c>
      <c r="D35" s="12">
        <v>46142.0</v>
      </c>
      <c r="E35" s="12">
        <v>46139.0</v>
      </c>
      <c r="F35" s="2" t="s">
        <v>130</v>
      </c>
      <c r="G35" s="2" t="str">
        <f>VLOOKUP(F35,Tabela_1[#ALL],2,0)</f>
        <v>PackExpress Cooperativa</v>
      </c>
      <c r="H35" s="2" t="str">
        <f>VLOOKUP(F35,Tabela_1[#ALL],3,0)</f>
        <v>ecommerce</v>
      </c>
      <c r="I35" s="2" t="s">
        <v>39</v>
      </c>
      <c r="J35" s="2">
        <v>3.0</v>
      </c>
      <c r="K35" s="14">
        <v>61602.8</v>
      </c>
      <c r="L35" s="14">
        <v>51580.2</v>
      </c>
      <c r="M35" s="14">
        <v>10022.6</v>
      </c>
      <c r="N35" s="14">
        <v>2795.0</v>
      </c>
      <c r="O35" s="14">
        <f t="shared" si="2"/>
        <v>7227.6</v>
      </c>
      <c r="P35" s="2" t="s">
        <v>2597</v>
      </c>
    </row>
    <row r="36" ht="22.5" customHeight="1">
      <c r="A36" s="2" t="s">
        <v>394</v>
      </c>
      <c r="B36" s="12">
        <v>46117.0</v>
      </c>
      <c r="C36" s="13" t="str">
        <f t="shared" si="1"/>
        <v>2026-04</v>
      </c>
      <c r="D36" s="12">
        <v>46151.0</v>
      </c>
      <c r="E36" s="12">
        <v>46149.0</v>
      </c>
      <c r="F36" s="2" t="s">
        <v>132</v>
      </c>
      <c r="G36" s="2" t="str">
        <f>VLOOKUP(F36,Tabela_1[#ALL],2,0)</f>
        <v>Doce Vale</v>
      </c>
      <c r="H36" s="2" t="str">
        <f>VLOOKUP(F36,Tabela_1[#ALL],3,0)</f>
        <v>alimenticio</v>
      </c>
      <c r="I36" s="2" t="s">
        <v>39</v>
      </c>
      <c r="J36" s="2">
        <v>1.0</v>
      </c>
      <c r="K36" s="14">
        <v>8765.4</v>
      </c>
      <c r="L36" s="14">
        <v>7095.8</v>
      </c>
      <c r="M36" s="14">
        <v>1669.6</v>
      </c>
      <c r="N36" s="14">
        <v>1858.0</v>
      </c>
      <c r="O36" s="14">
        <f t="shared" si="2"/>
        <v>-188.4</v>
      </c>
      <c r="P36" s="2" t="s">
        <v>2597</v>
      </c>
    </row>
    <row r="37" ht="22.5" customHeight="1">
      <c r="A37" s="2" t="s">
        <v>396</v>
      </c>
      <c r="B37" s="12">
        <v>46117.0</v>
      </c>
      <c r="C37" s="13" t="str">
        <f t="shared" si="1"/>
        <v>2026-04</v>
      </c>
      <c r="D37" s="12">
        <v>46145.0</v>
      </c>
      <c r="E37" s="12">
        <v>46147.0</v>
      </c>
      <c r="F37" s="2" t="s">
        <v>181</v>
      </c>
      <c r="G37" s="2" t="str">
        <f>VLOOKUP(F37,Tabela_1[#ALL],2,0)</f>
        <v>Mercatto Comércio</v>
      </c>
      <c r="H37" s="2" t="str">
        <f>VLOOKUP(F37,Tabela_1[#ALL],3,0)</f>
        <v>varejo</v>
      </c>
      <c r="I37" s="2" t="s">
        <v>39</v>
      </c>
      <c r="J37" s="2">
        <v>3.0</v>
      </c>
      <c r="K37" s="14">
        <v>11289.9</v>
      </c>
      <c r="L37" s="14">
        <v>9045.7</v>
      </c>
      <c r="M37" s="14">
        <v>2244.2</v>
      </c>
      <c r="N37" s="14">
        <v>63.0</v>
      </c>
      <c r="O37" s="14">
        <f t="shared" si="2"/>
        <v>2181.2</v>
      </c>
      <c r="P37" s="2" t="s">
        <v>2597</v>
      </c>
    </row>
    <row r="38" ht="22.5" customHeight="1">
      <c r="A38" s="2" t="s">
        <v>399</v>
      </c>
      <c r="B38" s="12">
        <v>46117.0</v>
      </c>
      <c r="C38" s="13" t="str">
        <f t="shared" si="1"/>
        <v>2026-04</v>
      </c>
      <c r="D38" s="12">
        <v>46144.0</v>
      </c>
      <c r="E38" s="12">
        <v>46142.0</v>
      </c>
      <c r="F38" s="2" t="s">
        <v>189</v>
      </c>
      <c r="G38" s="2" t="str">
        <f>VLOOKUP(F38,Tabela_1[#ALL],2,0)</f>
        <v>EnviaTudo Cooperativa (Joinville)</v>
      </c>
      <c r="H38" s="2" t="str">
        <f>VLOOKUP(F38,Tabela_1[#ALL],3,0)</f>
        <v>ecommerce</v>
      </c>
      <c r="I38" s="2" t="s">
        <v>22</v>
      </c>
      <c r="J38" s="2">
        <v>1.0</v>
      </c>
      <c r="K38" s="14">
        <v>11629.8</v>
      </c>
      <c r="L38" s="14">
        <v>9414.6</v>
      </c>
      <c r="M38" s="14">
        <v>2215.2</v>
      </c>
      <c r="N38" s="14">
        <v>3967.0</v>
      </c>
      <c r="O38" s="14">
        <f t="shared" si="2"/>
        <v>-1751.8</v>
      </c>
      <c r="P38" s="2" t="s">
        <v>2597</v>
      </c>
    </row>
    <row r="39" ht="22.5" customHeight="1">
      <c r="A39" s="2" t="s">
        <v>401</v>
      </c>
      <c r="B39" s="12">
        <v>46117.0</v>
      </c>
      <c r="C39" s="13" t="str">
        <f t="shared" si="1"/>
        <v>2026-04</v>
      </c>
      <c r="D39" s="12">
        <v>46145.0</v>
      </c>
      <c r="F39" s="2" t="s">
        <v>211</v>
      </c>
      <c r="G39" s="2" t="str">
        <f>VLOOKUP(F39,Tabela_1[#ALL],2,0)</f>
        <v>PackExpress S.A.</v>
      </c>
      <c r="H39" s="2" t="str">
        <f>VLOOKUP(F39,Tabela_1[#ALL],3,0)</f>
        <v>ecommerce</v>
      </c>
      <c r="I39" s="2" t="s">
        <v>91</v>
      </c>
      <c r="J39" s="2">
        <v>3.0</v>
      </c>
      <c r="K39" s="14">
        <v>4885.1</v>
      </c>
      <c r="L39" s="14">
        <v>4185.1</v>
      </c>
      <c r="M39" s="14">
        <v>700.0</v>
      </c>
      <c r="N39" s="14">
        <v>687.0</v>
      </c>
      <c r="O39" s="14">
        <f t="shared" si="2"/>
        <v>13</v>
      </c>
      <c r="P39" s="2" t="s">
        <v>2598</v>
      </c>
    </row>
    <row r="40" ht="22.5" customHeight="1">
      <c r="A40" s="2" t="s">
        <v>408</v>
      </c>
      <c r="B40" s="12">
        <v>46117.0</v>
      </c>
      <c r="C40" s="13" t="str">
        <f t="shared" si="1"/>
        <v>2026-04</v>
      </c>
      <c r="D40" s="12">
        <v>46147.0</v>
      </c>
      <c r="E40" s="12">
        <v>46148.0</v>
      </c>
      <c r="F40" s="2" t="s">
        <v>243</v>
      </c>
      <c r="G40" s="2" t="str">
        <f>VLOOKUP(F40,Tabela_1[#ALL],2,0)</f>
        <v>RotaFácil Comércio</v>
      </c>
      <c r="H40" s="2" t="str">
        <f>VLOOKUP(F40,Tabela_1[#ALL],3,0)</f>
        <v>ecommerce</v>
      </c>
      <c r="I40" s="2" t="s">
        <v>22</v>
      </c>
      <c r="J40" s="2">
        <v>1.0</v>
      </c>
      <c r="K40" s="14">
        <v>2548.0</v>
      </c>
      <c r="L40" s="14">
        <v>1999.2</v>
      </c>
      <c r="M40" s="14">
        <v>548.8</v>
      </c>
      <c r="N40" s="14">
        <v>810.0</v>
      </c>
      <c r="O40" s="14">
        <f t="shared" si="2"/>
        <v>-261.2</v>
      </c>
      <c r="P40" s="2" t="s">
        <v>2597</v>
      </c>
    </row>
    <row r="41" ht="22.5" customHeight="1">
      <c r="A41" s="2" t="s">
        <v>410</v>
      </c>
      <c r="B41" s="12">
        <v>46118.0</v>
      </c>
      <c r="C41" s="13" t="str">
        <f t="shared" si="1"/>
        <v>2026-04</v>
      </c>
      <c r="D41" s="12">
        <v>46140.0</v>
      </c>
      <c r="E41" s="12">
        <v>46139.0</v>
      </c>
      <c r="F41" s="2" t="s">
        <v>101</v>
      </c>
      <c r="G41" s="2" t="str">
        <f>VLOOKUP(F41,Tabela_1[#ALL],2,0)</f>
        <v>Vivê Beauty</v>
      </c>
      <c r="H41" s="2" t="str">
        <f>VLOOKUP(F41,Tabela_1[#ALL],3,0)</f>
        <v>cosmetico</v>
      </c>
      <c r="I41" s="2" t="s">
        <v>91</v>
      </c>
      <c r="J41" s="2">
        <v>1.0</v>
      </c>
      <c r="K41" s="14">
        <v>2629.2</v>
      </c>
      <c r="L41" s="14">
        <v>2347.5</v>
      </c>
      <c r="M41" s="14">
        <v>281.7</v>
      </c>
      <c r="N41" s="14">
        <v>1271.0</v>
      </c>
      <c r="O41" s="14">
        <f t="shared" si="2"/>
        <v>-989.3</v>
      </c>
      <c r="P41" s="2" t="s">
        <v>2597</v>
      </c>
    </row>
    <row r="42" ht="22.5" customHeight="1">
      <c r="A42" s="2" t="s">
        <v>412</v>
      </c>
      <c r="B42" s="12">
        <v>46118.0</v>
      </c>
      <c r="C42" s="13" t="str">
        <f t="shared" si="1"/>
        <v>2026-04</v>
      </c>
      <c r="D42" s="12">
        <v>46150.0</v>
      </c>
      <c r="E42" s="12">
        <v>46148.0</v>
      </c>
      <c r="F42" s="2" t="s">
        <v>128</v>
      </c>
      <c r="G42" s="2" t="str">
        <f>VLOOKUP(F42,Tabela_1[#ALL],2,0)</f>
        <v>EnviaTudo Cooperativa</v>
      </c>
      <c r="H42" s="2" t="str">
        <f>VLOOKUP(F42,Tabela_1[#ALL],3,0)</f>
        <v>ecommerce</v>
      </c>
      <c r="I42" s="2" t="s">
        <v>56</v>
      </c>
      <c r="J42" s="2">
        <v>2.0</v>
      </c>
      <c r="K42" s="14">
        <v>8384.1</v>
      </c>
      <c r="L42" s="14">
        <v>6682.7</v>
      </c>
      <c r="M42" s="14">
        <v>1701.4</v>
      </c>
      <c r="N42" s="14">
        <v>5246.0</v>
      </c>
      <c r="O42" s="14">
        <f t="shared" si="2"/>
        <v>-3544.6</v>
      </c>
      <c r="P42" s="2" t="s">
        <v>2597</v>
      </c>
    </row>
    <row r="43" ht="22.5" customHeight="1">
      <c r="A43" s="2" t="s">
        <v>414</v>
      </c>
      <c r="B43" s="12">
        <v>46118.0</v>
      </c>
      <c r="C43" s="13" t="str">
        <f t="shared" si="1"/>
        <v>2026-04</v>
      </c>
      <c r="D43" s="12">
        <v>46145.0</v>
      </c>
      <c r="E43" s="12">
        <v>46158.0</v>
      </c>
      <c r="F43" s="2" t="s">
        <v>149</v>
      </c>
      <c r="G43" s="2" t="str">
        <f>VLOOKUP(F43,Tabela_1[#ALL],2,0)</f>
        <v>EnviaTudo Comércio</v>
      </c>
      <c r="H43" s="2" t="str">
        <f>VLOOKUP(F43,Tabela_1[#ALL],3,0)</f>
        <v>ecommerce</v>
      </c>
      <c r="I43" s="2" t="s">
        <v>91</v>
      </c>
      <c r="J43" s="2">
        <v>1.0</v>
      </c>
      <c r="K43" s="14">
        <v>3144.4</v>
      </c>
      <c r="L43" s="14">
        <v>2807.5</v>
      </c>
      <c r="M43" s="14">
        <v>336.9</v>
      </c>
      <c r="N43" s="14">
        <v>3155.0</v>
      </c>
      <c r="O43" s="14">
        <f t="shared" si="2"/>
        <v>-2818.1</v>
      </c>
      <c r="P43" s="2" t="s">
        <v>2599</v>
      </c>
    </row>
    <row r="44" ht="22.5" customHeight="1">
      <c r="A44" s="2" t="s">
        <v>416</v>
      </c>
      <c r="B44" s="12">
        <v>46118.0</v>
      </c>
      <c r="C44" s="13" t="str">
        <f t="shared" si="1"/>
        <v>2026-04</v>
      </c>
      <c r="D44" s="12">
        <v>46142.0</v>
      </c>
      <c r="F44" s="2" t="s">
        <v>159</v>
      </c>
      <c r="G44" s="2" t="str">
        <f>VLOOKUP(F44,Tabela_1[#ALL],2,0)</f>
        <v>Biolatina Indústria EPP</v>
      </c>
      <c r="H44" s="2" t="str">
        <f>VLOOKUP(F44,Tabela_1[#ALL],3,0)</f>
        <v>farmaceutico</v>
      </c>
      <c r="I44" s="2" t="s">
        <v>39</v>
      </c>
      <c r="J44" s="2">
        <v>1.0</v>
      </c>
      <c r="K44" s="14">
        <v>30891.0</v>
      </c>
      <c r="L44" s="14">
        <v>25007.0</v>
      </c>
      <c r="M44" s="14">
        <v>5884.0</v>
      </c>
      <c r="N44" s="14">
        <v>584.0</v>
      </c>
      <c r="O44" s="14">
        <f t="shared" si="2"/>
        <v>5300</v>
      </c>
      <c r="P44" s="2" t="s">
        <v>2598</v>
      </c>
    </row>
    <row r="45" ht="22.5" customHeight="1">
      <c r="A45" s="2" t="s">
        <v>417</v>
      </c>
      <c r="B45" s="12">
        <v>46118.0</v>
      </c>
      <c r="C45" s="13" t="str">
        <f t="shared" si="1"/>
        <v>2026-04</v>
      </c>
      <c r="D45" s="12">
        <v>46137.0</v>
      </c>
      <c r="E45" s="12">
        <v>46138.0</v>
      </c>
      <c r="F45" s="2" t="s">
        <v>187</v>
      </c>
      <c r="G45" s="2" t="str">
        <f>VLOOKUP(F45,Tabela_1[#ALL],2,0)</f>
        <v>Granoma Alimentos EPP</v>
      </c>
      <c r="H45" s="2" t="str">
        <f>VLOOKUP(F45,Tabela_1[#ALL],3,0)</f>
        <v>alimenticio</v>
      </c>
      <c r="I45" s="2" t="s">
        <v>22</v>
      </c>
      <c r="J45" s="2">
        <v>2.0</v>
      </c>
      <c r="K45" s="14">
        <v>13434.4</v>
      </c>
      <c r="L45" s="14">
        <v>11995.0</v>
      </c>
      <c r="M45" s="14">
        <v>1439.4</v>
      </c>
      <c r="N45" s="14">
        <v>1603.0</v>
      </c>
      <c r="O45" s="14">
        <f t="shared" si="2"/>
        <v>-163.6</v>
      </c>
      <c r="P45" s="2" t="s">
        <v>2597</v>
      </c>
    </row>
    <row r="46" ht="22.5" customHeight="1">
      <c r="A46" s="2" t="s">
        <v>419</v>
      </c>
      <c r="B46" s="12">
        <v>46118.0</v>
      </c>
      <c r="C46" s="13" t="str">
        <f t="shared" si="1"/>
        <v>2026-04</v>
      </c>
      <c r="D46" s="12">
        <v>46133.0</v>
      </c>
      <c r="E46" s="12">
        <v>46133.0</v>
      </c>
      <c r="F46" s="2" t="s">
        <v>201</v>
      </c>
      <c r="G46" s="2" t="str">
        <f>VLOOKUP(F46,Tabela_1[#ALL],2,0)</f>
        <v>PackExpress Ltda</v>
      </c>
      <c r="H46" s="2" t="str">
        <f>VLOOKUP(F46,Tabela_1[#ALL],3,0)</f>
        <v>ecommerce</v>
      </c>
      <c r="I46" s="2" t="s">
        <v>56</v>
      </c>
      <c r="J46" s="2">
        <v>3.0</v>
      </c>
      <c r="K46" s="14">
        <v>17102.4</v>
      </c>
      <c r="L46" s="14">
        <v>13437.6</v>
      </c>
      <c r="M46" s="14">
        <v>3664.8</v>
      </c>
      <c r="N46" s="14">
        <v>721.0</v>
      </c>
      <c r="O46" s="14">
        <f t="shared" si="2"/>
        <v>2943.8</v>
      </c>
      <c r="P46" s="2" t="s">
        <v>2597</v>
      </c>
    </row>
    <row r="47" ht="22.5" customHeight="1">
      <c r="A47" s="2" t="s">
        <v>422</v>
      </c>
      <c r="B47" s="12">
        <v>46118.0</v>
      </c>
      <c r="C47" s="13" t="str">
        <f t="shared" si="1"/>
        <v>2026-04</v>
      </c>
      <c r="D47" s="12">
        <v>46137.0</v>
      </c>
      <c r="E47" s="12">
        <v>46135.0</v>
      </c>
      <c r="F47" s="2" t="s">
        <v>229</v>
      </c>
      <c r="G47" s="2" t="str">
        <f>VLOOKUP(F47,Tabela_1[#ALL],2,0)</f>
        <v>Sirena Perfumaria S.A.</v>
      </c>
      <c r="H47" s="2" t="str">
        <f>VLOOKUP(F47,Tabela_1[#ALL],3,0)</f>
        <v>cosmetico</v>
      </c>
      <c r="I47" s="2" t="s">
        <v>91</v>
      </c>
      <c r="J47" s="2">
        <v>1.0</v>
      </c>
      <c r="K47" s="14">
        <v>5684.0</v>
      </c>
      <c r="L47" s="14">
        <v>5075.0</v>
      </c>
      <c r="M47" s="14">
        <v>609.0</v>
      </c>
      <c r="N47" s="14">
        <v>3147.0</v>
      </c>
      <c r="O47" s="14">
        <f t="shared" si="2"/>
        <v>-2538</v>
      </c>
      <c r="P47" s="2" t="s">
        <v>2597</v>
      </c>
    </row>
    <row r="48" ht="22.5" customHeight="1">
      <c r="A48" s="2" t="s">
        <v>423</v>
      </c>
      <c r="B48" s="12">
        <v>46119.0</v>
      </c>
      <c r="C48" s="13" t="str">
        <f t="shared" si="1"/>
        <v>2026-04</v>
      </c>
      <c r="D48" s="12">
        <v>46136.0</v>
      </c>
      <c r="E48" s="12">
        <v>46137.0</v>
      </c>
      <c r="F48" s="2" t="s">
        <v>28</v>
      </c>
      <c r="G48" s="2" t="str">
        <f>VLOOKUP(F48,Tabela_1[#ALL],2,0)</f>
        <v>CoopFrigo</v>
      </c>
      <c r="H48" s="2" t="str">
        <f>VLOOKUP(F48,Tabela_1[#ALL],3,0)</f>
        <v>alimenticio</v>
      </c>
      <c r="I48" s="2" t="s">
        <v>16</v>
      </c>
      <c r="J48" s="2">
        <v>1.0</v>
      </c>
      <c r="K48" s="14">
        <v>81223.8</v>
      </c>
      <c r="L48" s="14">
        <v>65752.6</v>
      </c>
      <c r="M48" s="14">
        <v>15471.2</v>
      </c>
      <c r="N48" s="14">
        <v>1416.0</v>
      </c>
      <c r="O48" s="14">
        <f t="shared" si="2"/>
        <v>14055.2</v>
      </c>
      <c r="P48" s="2" t="s">
        <v>2597</v>
      </c>
    </row>
    <row r="49" ht="22.5" customHeight="1">
      <c r="A49" s="2" t="s">
        <v>427</v>
      </c>
      <c r="B49" s="12">
        <v>46119.0</v>
      </c>
      <c r="C49" s="13" t="str">
        <f t="shared" si="1"/>
        <v>2026-04</v>
      </c>
      <c r="D49" s="12">
        <v>46138.0</v>
      </c>
      <c r="E49" s="12">
        <v>46136.0</v>
      </c>
      <c r="F49" s="2" t="s">
        <v>115</v>
      </c>
      <c r="G49" s="2" t="str">
        <f>VLOOKUP(F49,Tabela_1[#ALL],2,0)</f>
        <v>Comercial Bandeirantes</v>
      </c>
      <c r="H49" s="2" t="str">
        <f>VLOOKUP(F49,Tabela_1[#ALL],3,0)</f>
        <v>distribuidor</v>
      </c>
      <c r="I49" s="2" t="s">
        <v>22</v>
      </c>
      <c r="J49" s="2">
        <v>1.0</v>
      </c>
      <c r="K49" s="14">
        <v>16962.4</v>
      </c>
      <c r="L49" s="14">
        <v>13211.1</v>
      </c>
      <c r="M49" s="14">
        <v>3751.3</v>
      </c>
      <c r="N49" s="14">
        <v>5892.0</v>
      </c>
      <c r="O49" s="14">
        <f t="shared" si="2"/>
        <v>-2140.7</v>
      </c>
      <c r="P49" s="2" t="s">
        <v>2597</v>
      </c>
    </row>
    <row r="50" ht="22.5" customHeight="1">
      <c r="A50" s="2" t="s">
        <v>430</v>
      </c>
      <c r="B50" s="12">
        <v>46119.0</v>
      </c>
      <c r="C50" s="13" t="str">
        <f t="shared" si="1"/>
        <v>2026-04</v>
      </c>
      <c r="D50" s="12">
        <v>46152.0</v>
      </c>
      <c r="E50" s="12">
        <v>46150.0</v>
      </c>
      <c r="F50" s="2" t="s">
        <v>191</v>
      </c>
      <c r="G50" s="2" t="str">
        <f>VLOOKUP(F50,Tabela_1[#ALL],2,0)</f>
        <v>Solene Cosméticos Ltda (São Paulo)</v>
      </c>
      <c r="H50" s="2" t="str">
        <f>VLOOKUP(F50,Tabela_1[#ALL],3,0)</f>
        <v>cosmetico</v>
      </c>
      <c r="I50" s="2" t="s">
        <v>49</v>
      </c>
      <c r="J50" s="2">
        <v>1.0</v>
      </c>
      <c r="K50" s="14">
        <v>4494.0</v>
      </c>
      <c r="L50" s="14">
        <v>3638.0</v>
      </c>
      <c r="M50" s="14">
        <v>856.0</v>
      </c>
      <c r="N50" s="14">
        <v>4721.0</v>
      </c>
      <c r="O50" s="14">
        <f t="shared" si="2"/>
        <v>-3865</v>
      </c>
      <c r="P50" s="2" t="s">
        <v>2597</v>
      </c>
    </row>
    <row r="51" ht="22.5" customHeight="1">
      <c r="A51" s="2" t="s">
        <v>431</v>
      </c>
      <c r="B51" s="12">
        <v>46119.0</v>
      </c>
      <c r="C51" s="13" t="str">
        <f t="shared" si="1"/>
        <v>2026-04</v>
      </c>
      <c r="D51" s="12">
        <v>46142.0</v>
      </c>
      <c r="E51" s="12">
        <v>46141.0</v>
      </c>
      <c r="F51" s="2" t="s">
        <v>197</v>
      </c>
      <c r="G51" s="2" t="str">
        <f>VLOOKUP(F51,Tabela_1[#ALL],2,0)</f>
        <v>Sabor Forte Alimentos Indústria</v>
      </c>
      <c r="H51" s="2" t="str">
        <f>VLOOKUP(F51,Tabela_1[#ALL],3,0)</f>
        <v>alimenticio</v>
      </c>
      <c r="I51" s="2" t="s">
        <v>49</v>
      </c>
      <c r="J51" s="2">
        <v>1.0</v>
      </c>
      <c r="K51" s="14">
        <v>4088.5</v>
      </c>
      <c r="L51" s="14">
        <v>3207.9</v>
      </c>
      <c r="M51" s="14">
        <v>880.6</v>
      </c>
      <c r="N51" s="14">
        <v>1986.0</v>
      </c>
      <c r="O51" s="14">
        <f t="shared" si="2"/>
        <v>-1105.4</v>
      </c>
      <c r="P51" s="2" t="s">
        <v>2597</v>
      </c>
    </row>
    <row r="52" ht="22.5" customHeight="1">
      <c r="A52" s="2" t="s">
        <v>433</v>
      </c>
      <c r="B52" s="12">
        <v>46119.0</v>
      </c>
      <c r="C52" s="13" t="str">
        <f t="shared" si="1"/>
        <v>2026-04</v>
      </c>
      <c r="D52" s="12">
        <v>46154.0</v>
      </c>
      <c r="E52" s="12">
        <v>46154.0</v>
      </c>
      <c r="F52" s="2" t="s">
        <v>217</v>
      </c>
      <c r="G52" s="2" t="str">
        <f>VLOOKUP(F52,Tabela_1[#ALL],2,0)</f>
        <v>Cherie Cosméticos Ltda</v>
      </c>
      <c r="H52" s="2" t="str">
        <f>VLOOKUP(F52,Tabela_1[#ALL],3,0)</f>
        <v>cosmetico</v>
      </c>
      <c r="I52" s="2" t="s">
        <v>56</v>
      </c>
      <c r="J52" s="2">
        <v>3.0</v>
      </c>
      <c r="K52" s="14">
        <v>12184.2</v>
      </c>
      <c r="L52" s="14">
        <v>10540.3</v>
      </c>
      <c r="M52" s="14">
        <v>1643.9</v>
      </c>
      <c r="N52" s="14">
        <v>2306.0</v>
      </c>
      <c r="O52" s="14">
        <f t="shared" si="2"/>
        <v>-662.1</v>
      </c>
      <c r="P52" s="2" t="s">
        <v>2597</v>
      </c>
    </row>
    <row r="53" ht="22.5" customHeight="1">
      <c r="A53" s="2" t="s">
        <v>436</v>
      </c>
      <c r="B53" s="12">
        <v>46119.0</v>
      </c>
      <c r="C53" s="13" t="str">
        <f t="shared" si="1"/>
        <v>2026-04</v>
      </c>
      <c r="D53" s="12">
        <v>46141.0</v>
      </c>
      <c r="E53" s="12">
        <v>46147.0</v>
      </c>
      <c r="F53" s="2" t="s">
        <v>229</v>
      </c>
      <c r="G53" s="2" t="str">
        <f>VLOOKUP(F53,Tabela_1[#ALL],2,0)</f>
        <v>Sirena Perfumaria S.A.</v>
      </c>
      <c r="H53" s="2" t="str">
        <f>VLOOKUP(F53,Tabela_1[#ALL],3,0)</f>
        <v>cosmetico</v>
      </c>
      <c r="I53" s="2" t="s">
        <v>91</v>
      </c>
      <c r="J53" s="2">
        <v>2.0</v>
      </c>
      <c r="K53" s="14">
        <v>15989.0</v>
      </c>
      <c r="L53" s="14">
        <v>13410.5</v>
      </c>
      <c r="M53" s="14">
        <v>2578.5</v>
      </c>
      <c r="N53" s="14">
        <v>2413.0</v>
      </c>
      <c r="O53" s="14">
        <f t="shared" si="2"/>
        <v>165.5</v>
      </c>
      <c r="P53" s="2" t="s">
        <v>2597</v>
      </c>
    </row>
    <row r="54" ht="22.5" customHeight="1">
      <c r="A54" s="2" t="s">
        <v>438</v>
      </c>
      <c r="B54" s="12">
        <v>46120.0</v>
      </c>
      <c r="C54" s="13" t="str">
        <f t="shared" si="1"/>
        <v>2026-04</v>
      </c>
      <c r="D54" s="12">
        <v>46147.0</v>
      </c>
      <c r="E54" s="12">
        <v>46148.0</v>
      </c>
      <c r="F54" s="2" t="s">
        <v>19</v>
      </c>
      <c r="G54" s="2" t="str">
        <f>VLOOKUP(F54,Tabela_1[#ALL],2,0)</f>
        <v>NorteAgro</v>
      </c>
      <c r="H54" s="2" t="str">
        <f>VLOOKUP(F54,Tabela_1[#ALL],3,0)</f>
        <v>alimenticio</v>
      </c>
      <c r="I54" s="2" t="s">
        <v>22</v>
      </c>
      <c r="J54" s="2">
        <v>1.0</v>
      </c>
      <c r="K54" s="14">
        <v>204475.2</v>
      </c>
      <c r="L54" s="14">
        <v>154603.2</v>
      </c>
      <c r="M54" s="14">
        <v>49872.0</v>
      </c>
      <c r="N54" s="14">
        <v>6213.0</v>
      </c>
      <c r="O54" s="14">
        <f t="shared" si="2"/>
        <v>43659</v>
      </c>
      <c r="P54" s="2" t="s">
        <v>2597</v>
      </c>
    </row>
    <row r="55" ht="22.5" customHeight="1">
      <c r="A55" s="2" t="s">
        <v>441</v>
      </c>
      <c r="B55" s="12">
        <v>46120.0</v>
      </c>
      <c r="C55" s="13" t="str">
        <f t="shared" si="1"/>
        <v>2026-04</v>
      </c>
      <c r="D55" s="12">
        <v>46154.0</v>
      </c>
      <c r="E55" s="12">
        <v>46152.0</v>
      </c>
      <c r="F55" s="2" t="s">
        <v>81</v>
      </c>
      <c r="G55" s="2" t="str">
        <f>VLOOKUP(F55,Tabela_1[#ALL],2,0)</f>
        <v>Padaria Aurora</v>
      </c>
      <c r="H55" s="2" t="str">
        <f>VLOOKUP(F55,Tabela_1[#ALL],3,0)</f>
        <v>outros</v>
      </c>
      <c r="I55" s="2" t="s">
        <v>85</v>
      </c>
      <c r="J55" s="2">
        <v>1.0</v>
      </c>
      <c r="K55" s="14">
        <v>3567.2</v>
      </c>
      <c r="L55" s="14">
        <v>3185.0</v>
      </c>
      <c r="M55" s="14">
        <v>382.2</v>
      </c>
      <c r="N55" s="14">
        <v>0.0</v>
      </c>
      <c r="O55" s="14">
        <f t="shared" si="2"/>
        <v>382.2</v>
      </c>
      <c r="P55" s="2" t="s">
        <v>2597</v>
      </c>
    </row>
    <row r="56" ht="22.5" customHeight="1">
      <c r="A56" s="2" t="s">
        <v>443</v>
      </c>
      <c r="B56" s="12">
        <v>46120.0</v>
      </c>
      <c r="C56" s="13" t="str">
        <f t="shared" si="1"/>
        <v>2026-04</v>
      </c>
      <c r="D56" s="12">
        <v>46154.0</v>
      </c>
      <c r="E56" s="12">
        <v>46156.0</v>
      </c>
      <c r="F56" s="2" t="s">
        <v>126</v>
      </c>
      <c r="G56" s="2" t="str">
        <f>VLOOKUP(F56,Tabela_1[#ALL],2,0)</f>
        <v>Biolatina Indústria Cooperativa</v>
      </c>
      <c r="H56" s="2" t="str">
        <f>VLOOKUP(F56,Tabela_1[#ALL],3,0)</f>
        <v>farmaceutico</v>
      </c>
      <c r="I56" s="2" t="s">
        <v>43</v>
      </c>
      <c r="J56" s="2">
        <v>1.0</v>
      </c>
      <c r="K56" s="14">
        <v>9809.0</v>
      </c>
      <c r="L56" s="14">
        <v>8222.25</v>
      </c>
      <c r="M56" s="14">
        <v>1586.75</v>
      </c>
      <c r="N56" s="14">
        <v>6778.0</v>
      </c>
      <c r="O56" s="14">
        <f t="shared" si="2"/>
        <v>-5191.25</v>
      </c>
      <c r="P56" s="2" t="s">
        <v>2597</v>
      </c>
    </row>
    <row r="57" ht="22.5" customHeight="1">
      <c r="A57" s="2" t="s">
        <v>446</v>
      </c>
      <c r="B57" s="12">
        <v>46120.0</v>
      </c>
      <c r="C57" s="13" t="str">
        <f t="shared" si="1"/>
        <v>2026-04</v>
      </c>
      <c r="D57" s="12">
        <v>46145.0</v>
      </c>
      <c r="E57" s="12">
        <v>46146.0</v>
      </c>
      <c r="F57" s="2" t="s">
        <v>171</v>
      </c>
      <c r="G57" s="2" t="str">
        <f>VLOOKUP(F57,Tabela_1[#ALL],2,0)</f>
        <v>Solene Cosméticos Ltda</v>
      </c>
      <c r="H57" s="2" t="str">
        <f>VLOOKUP(F57,Tabela_1[#ALL],3,0)</f>
        <v>cosmetico</v>
      </c>
      <c r="I57" s="2" t="s">
        <v>56</v>
      </c>
      <c r="J57" s="2">
        <v>2.0</v>
      </c>
      <c r="K57" s="14">
        <v>8195.4</v>
      </c>
      <c r="L57" s="14">
        <v>6117.3</v>
      </c>
      <c r="M57" s="14">
        <v>2078.1</v>
      </c>
      <c r="N57" s="14">
        <v>5212.0</v>
      </c>
      <c r="O57" s="14">
        <f t="shared" si="2"/>
        <v>-3133.9</v>
      </c>
      <c r="P57" s="2" t="s">
        <v>2597</v>
      </c>
    </row>
    <row r="58" ht="22.5" customHeight="1">
      <c r="A58" s="2" t="s">
        <v>448</v>
      </c>
      <c r="B58" s="12">
        <v>46120.0</v>
      </c>
      <c r="C58" s="13" t="str">
        <f t="shared" si="1"/>
        <v>2026-04</v>
      </c>
      <c r="D58" s="12">
        <v>46142.0</v>
      </c>
      <c r="E58" s="12">
        <v>46142.0</v>
      </c>
      <c r="F58" s="2" t="s">
        <v>175</v>
      </c>
      <c r="G58" s="2" t="str">
        <f>VLOOKUP(F58,Tabela_1[#ALL],2,0)</f>
        <v>Nutrigrão Comércio</v>
      </c>
      <c r="H58" s="2" t="str">
        <f>VLOOKUP(F58,Tabela_1[#ALL],3,0)</f>
        <v>alimenticio</v>
      </c>
      <c r="I58" s="2" t="s">
        <v>49</v>
      </c>
      <c r="J58" s="2">
        <v>2.0</v>
      </c>
      <c r="K58" s="14">
        <v>7031.0</v>
      </c>
      <c r="L58" s="14">
        <v>5398.8</v>
      </c>
      <c r="M58" s="14">
        <v>1632.2</v>
      </c>
      <c r="N58" s="14">
        <v>3846.0</v>
      </c>
      <c r="O58" s="14">
        <f t="shared" si="2"/>
        <v>-2213.8</v>
      </c>
      <c r="P58" s="2" t="s">
        <v>2597</v>
      </c>
    </row>
    <row r="59" ht="22.5" customHeight="1">
      <c r="A59" s="2" t="s">
        <v>451</v>
      </c>
      <c r="B59" s="12">
        <v>46120.0</v>
      </c>
      <c r="C59" s="13" t="str">
        <f t="shared" si="1"/>
        <v>2026-04</v>
      </c>
      <c r="D59" s="12">
        <v>46145.0</v>
      </c>
      <c r="E59" s="12">
        <v>46147.0</v>
      </c>
      <c r="F59" s="2" t="s">
        <v>225</v>
      </c>
      <c r="G59" s="2" t="str">
        <f>VLOOKUP(F59,Tabela_1[#ALL],2,0)</f>
        <v>Laticínios Boa Vista EPP</v>
      </c>
      <c r="H59" s="2" t="str">
        <f>VLOOKUP(F59,Tabela_1[#ALL],3,0)</f>
        <v>alimenticio</v>
      </c>
      <c r="I59" s="2" t="s">
        <v>49</v>
      </c>
      <c r="J59" s="2">
        <v>3.0</v>
      </c>
      <c r="K59" s="14">
        <v>34913.2</v>
      </c>
      <c r="L59" s="14">
        <v>29232.8</v>
      </c>
      <c r="M59" s="14">
        <v>5680.4</v>
      </c>
      <c r="N59" s="14">
        <v>1224.0</v>
      </c>
      <c r="O59" s="14">
        <f t="shared" si="2"/>
        <v>4456.4</v>
      </c>
      <c r="P59" s="2" t="s">
        <v>2597</v>
      </c>
    </row>
    <row r="60" ht="22.5" customHeight="1">
      <c r="A60" s="2" t="s">
        <v>455</v>
      </c>
      <c r="B60" s="12">
        <v>46120.0</v>
      </c>
      <c r="C60" s="13" t="str">
        <f t="shared" si="1"/>
        <v>2026-04</v>
      </c>
      <c r="D60" s="12">
        <v>46136.0</v>
      </c>
      <c r="F60" s="2" t="s">
        <v>251</v>
      </c>
      <c r="G60" s="2" t="str">
        <f>VLOOKUP(F60,Tabela_1[#ALL],2,0)</f>
        <v>Saúde Total Labs S.A.</v>
      </c>
      <c r="H60" s="2" t="str">
        <f>VLOOKUP(F60,Tabela_1[#ALL],3,0)</f>
        <v>farmaceutico</v>
      </c>
      <c r="I60" s="2" t="s">
        <v>49</v>
      </c>
      <c r="J60" s="2">
        <v>2.0</v>
      </c>
      <c r="K60" s="14">
        <v>11603.3</v>
      </c>
      <c r="L60" s="14">
        <v>9731.8</v>
      </c>
      <c r="M60" s="14">
        <v>1871.5</v>
      </c>
      <c r="N60" s="14">
        <v>721.0</v>
      </c>
      <c r="O60" s="14">
        <f t="shared" si="2"/>
        <v>1150.5</v>
      </c>
      <c r="P60" s="2" t="s">
        <v>2598</v>
      </c>
    </row>
    <row r="61" ht="22.5" customHeight="1">
      <c r="A61" s="2" t="s">
        <v>458</v>
      </c>
      <c r="B61" s="12">
        <v>46121.0</v>
      </c>
      <c r="C61" s="13" t="str">
        <f t="shared" si="1"/>
        <v>2026-04</v>
      </c>
      <c r="D61" s="12">
        <v>46152.0</v>
      </c>
      <c r="E61" s="12">
        <v>46152.0</v>
      </c>
      <c r="F61" s="2" t="s">
        <v>57</v>
      </c>
      <c r="G61" s="2" t="str">
        <f>VLOOKUP(F61,Tabela_1[#ALL],2,0)</f>
        <v>Distribuidora Oeste</v>
      </c>
      <c r="H61" s="2" t="str">
        <f>VLOOKUP(F61,Tabela_1[#ALL],3,0)</f>
        <v>distribuidor</v>
      </c>
      <c r="I61" s="2" t="s">
        <v>39</v>
      </c>
      <c r="J61" s="2">
        <v>1.0</v>
      </c>
      <c r="K61" s="14">
        <v>47829.6</v>
      </c>
      <c r="L61" s="14">
        <v>38719.2</v>
      </c>
      <c r="M61" s="14">
        <v>9110.4</v>
      </c>
      <c r="N61" s="14">
        <v>216.0</v>
      </c>
      <c r="O61" s="14">
        <f t="shared" si="2"/>
        <v>8894.4</v>
      </c>
      <c r="P61" s="2" t="s">
        <v>2597</v>
      </c>
    </row>
    <row r="62" ht="22.5" customHeight="1">
      <c r="A62" s="2" t="s">
        <v>461</v>
      </c>
      <c r="B62" s="12">
        <v>46121.0</v>
      </c>
      <c r="C62" s="13" t="str">
        <f t="shared" si="1"/>
        <v>2026-04</v>
      </c>
      <c r="D62" s="12">
        <v>46149.0</v>
      </c>
      <c r="E62" s="12">
        <v>46148.0</v>
      </c>
      <c r="F62" s="2" t="s">
        <v>195</v>
      </c>
      <c r="G62" s="2" t="str">
        <f>VLOOKUP(F62,Tabela_1[#ALL],2,0)</f>
        <v>Lumen Beauty</v>
      </c>
      <c r="H62" s="2" t="str">
        <f>VLOOKUP(F62,Tabela_1[#ALL],3,0)</f>
        <v>cosmetico</v>
      </c>
      <c r="I62" s="2" t="s">
        <v>43</v>
      </c>
      <c r="J62" s="2">
        <v>1.0</v>
      </c>
      <c r="K62" s="14">
        <v>16363.2</v>
      </c>
      <c r="L62" s="14">
        <v>12856.8</v>
      </c>
      <c r="M62" s="14">
        <v>3506.4</v>
      </c>
      <c r="N62" s="14">
        <v>1086.0</v>
      </c>
      <c r="O62" s="14">
        <f t="shared" si="2"/>
        <v>2420.4</v>
      </c>
      <c r="P62" s="2" t="s">
        <v>2597</v>
      </c>
    </row>
    <row r="63" ht="22.5" customHeight="1">
      <c r="A63" s="2" t="s">
        <v>464</v>
      </c>
      <c r="B63" s="12">
        <v>46121.0</v>
      </c>
      <c r="C63" s="13" t="str">
        <f t="shared" si="1"/>
        <v>2026-04</v>
      </c>
      <c r="D63" s="12">
        <v>46155.0</v>
      </c>
      <c r="E63" s="12">
        <v>46152.0</v>
      </c>
      <c r="F63" s="2" t="s">
        <v>207</v>
      </c>
      <c r="G63" s="2" t="str">
        <f>VLOOKUP(F63,Tabela_1[#ALL],2,0)</f>
        <v>Granoma Alimentos Cooperativa</v>
      </c>
      <c r="H63" s="2" t="str">
        <f>VLOOKUP(F63,Tabela_1[#ALL],3,0)</f>
        <v>alimenticio</v>
      </c>
      <c r="I63" s="2" t="s">
        <v>39</v>
      </c>
      <c r="J63" s="2">
        <v>3.0</v>
      </c>
      <c r="K63" s="14">
        <v>5803.8</v>
      </c>
      <c r="L63" s="14">
        <v>4864.95</v>
      </c>
      <c r="M63" s="14">
        <v>938.85</v>
      </c>
      <c r="N63" s="14">
        <v>6664.0</v>
      </c>
      <c r="O63" s="14">
        <f t="shared" si="2"/>
        <v>-5725.15</v>
      </c>
      <c r="P63" s="2" t="s">
        <v>2597</v>
      </c>
    </row>
    <row r="64" ht="22.5" customHeight="1">
      <c r="A64" s="2" t="s">
        <v>467</v>
      </c>
      <c r="B64" s="12">
        <v>46121.0</v>
      </c>
      <c r="C64" s="13" t="str">
        <f t="shared" si="1"/>
        <v>2026-04</v>
      </c>
      <c r="D64" s="12">
        <v>46147.0</v>
      </c>
      <c r="E64" s="12">
        <v>46152.0</v>
      </c>
      <c r="F64" s="2" t="s">
        <v>213</v>
      </c>
      <c r="G64" s="2" t="str">
        <f>VLOOKUP(F64,Tabela_1[#ALL],2,0)</f>
        <v>Doce Vale ME</v>
      </c>
      <c r="H64" s="2" t="str">
        <f>VLOOKUP(F64,Tabela_1[#ALL],3,0)</f>
        <v>alimenticio</v>
      </c>
      <c r="I64" s="2" t="s">
        <v>39</v>
      </c>
      <c r="J64" s="2">
        <v>1.0</v>
      </c>
      <c r="K64" s="14">
        <v>16718.8</v>
      </c>
      <c r="L64" s="14">
        <v>14927.5</v>
      </c>
      <c r="M64" s="14">
        <v>1791.3</v>
      </c>
      <c r="N64" s="14">
        <v>2253.0</v>
      </c>
      <c r="O64" s="14">
        <f t="shared" si="2"/>
        <v>-461.7</v>
      </c>
      <c r="P64" s="2" t="s">
        <v>2599</v>
      </c>
    </row>
    <row r="65" ht="22.5" customHeight="1">
      <c r="A65" s="2" t="s">
        <v>471</v>
      </c>
      <c r="B65" s="12">
        <v>46121.0</v>
      </c>
      <c r="C65" s="13" t="str">
        <f t="shared" si="1"/>
        <v>2026-04</v>
      </c>
      <c r="D65" s="12">
        <v>46137.0</v>
      </c>
      <c r="E65" s="12">
        <v>46152.0</v>
      </c>
      <c r="F65" s="2" t="s">
        <v>233</v>
      </c>
      <c r="G65" s="2" t="str">
        <f>VLOOKUP(F65,Tabela_1[#ALL],2,0)</f>
        <v>Doce Vale Comércio</v>
      </c>
      <c r="H65" s="2" t="str">
        <f>VLOOKUP(F65,Tabela_1[#ALL],3,0)</f>
        <v>alimenticio</v>
      </c>
      <c r="I65" s="2" t="s">
        <v>49</v>
      </c>
      <c r="J65" s="2">
        <v>2.0</v>
      </c>
      <c r="K65" s="14">
        <v>4759.0</v>
      </c>
      <c r="L65" s="14">
        <v>3991.6</v>
      </c>
      <c r="M65" s="14">
        <v>767.4</v>
      </c>
      <c r="N65" s="14">
        <v>1213.0</v>
      </c>
      <c r="O65" s="14">
        <f t="shared" si="2"/>
        <v>-445.6</v>
      </c>
      <c r="P65" s="2" t="s">
        <v>2599</v>
      </c>
    </row>
    <row r="66" ht="22.5" customHeight="1">
      <c r="A66" s="2" t="s">
        <v>474</v>
      </c>
      <c r="B66" s="12">
        <v>46122.0</v>
      </c>
      <c r="C66" s="13" t="str">
        <f t="shared" si="1"/>
        <v>2026-04</v>
      </c>
      <c r="D66" s="12">
        <v>46140.0</v>
      </c>
      <c r="E66" s="12">
        <v>46141.0</v>
      </c>
      <c r="F66" s="2" t="s">
        <v>115</v>
      </c>
      <c r="G66" s="2" t="str">
        <f>VLOOKUP(F66,Tabela_1[#ALL],2,0)</f>
        <v>Comercial Bandeirantes</v>
      </c>
      <c r="H66" s="2" t="str">
        <f>VLOOKUP(F66,Tabela_1[#ALL],3,0)</f>
        <v>distribuidor</v>
      </c>
      <c r="I66" s="2" t="s">
        <v>22</v>
      </c>
      <c r="J66" s="2">
        <v>3.0</v>
      </c>
      <c r="K66" s="14">
        <v>13832.4</v>
      </c>
      <c r="L66" s="14">
        <v>10539.0</v>
      </c>
      <c r="M66" s="14">
        <v>3293.4</v>
      </c>
      <c r="N66" s="14">
        <v>5589.0</v>
      </c>
      <c r="O66" s="14">
        <f t="shared" si="2"/>
        <v>-2295.6</v>
      </c>
      <c r="P66" s="2" t="s">
        <v>2597</v>
      </c>
    </row>
    <row r="67" ht="22.5" customHeight="1">
      <c r="A67" s="2" t="s">
        <v>477</v>
      </c>
      <c r="B67" s="12">
        <v>46122.0</v>
      </c>
      <c r="C67" s="13" t="str">
        <f t="shared" si="1"/>
        <v>2026-04</v>
      </c>
      <c r="D67" s="12">
        <v>46155.0</v>
      </c>
      <c r="E67" s="12">
        <v>46157.0</v>
      </c>
      <c r="F67" s="2" t="s">
        <v>223</v>
      </c>
      <c r="G67" s="2" t="str">
        <f>VLOOKUP(F67,Tabela_1[#ALL],2,0)</f>
        <v>Mercosul Comércio S.A.</v>
      </c>
      <c r="H67" s="2" t="str">
        <f>VLOOKUP(F67,Tabela_1[#ALL],3,0)</f>
        <v>distribuidor</v>
      </c>
      <c r="I67" s="2" t="s">
        <v>91</v>
      </c>
      <c r="J67" s="2">
        <v>2.0</v>
      </c>
      <c r="K67" s="14">
        <v>4527.6</v>
      </c>
      <c r="L67" s="14">
        <v>4042.5</v>
      </c>
      <c r="M67" s="14">
        <v>485.1</v>
      </c>
      <c r="N67" s="14">
        <v>321.0</v>
      </c>
      <c r="O67" s="14">
        <f t="shared" si="2"/>
        <v>164.1</v>
      </c>
      <c r="P67" s="2" t="s">
        <v>2597</v>
      </c>
    </row>
    <row r="68" ht="22.5" customHeight="1">
      <c r="A68" s="2" t="s">
        <v>480</v>
      </c>
      <c r="B68" s="12">
        <v>46123.0</v>
      </c>
      <c r="C68" s="13" t="str">
        <f t="shared" si="1"/>
        <v>2026-04</v>
      </c>
      <c r="D68" s="12">
        <v>46144.0</v>
      </c>
      <c r="E68" s="12">
        <v>46141.0</v>
      </c>
      <c r="F68" s="2" t="s">
        <v>28</v>
      </c>
      <c r="G68" s="2" t="str">
        <f>VLOOKUP(F68,Tabela_1[#ALL],2,0)</f>
        <v>CoopFrigo</v>
      </c>
      <c r="H68" s="2" t="str">
        <f>VLOOKUP(F68,Tabela_1[#ALL],3,0)</f>
        <v>alimenticio</v>
      </c>
      <c r="I68" s="2" t="s">
        <v>16</v>
      </c>
      <c r="J68" s="2">
        <v>1.0</v>
      </c>
      <c r="K68" s="14">
        <v>62933.0</v>
      </c>
      <c r="L68" s="14">
        <v>49378.2</v>
      </c>
      <c r="M68" s="14">
        <v>13554.8</v>
      </c>
      <c r="N68" s="14">
        <v>1652.0</v>
      </c>
      <c r="O68" s="14">
        <f t="shared" si="2"/>
        <v>11902.8</v>
      </c>
      <c r="P68" s="2" t="s">
        <v>2597</v>
      </c>
    </row>
    <row r="69" ht="22.5" customHeight="1">
      <c r="A69" s="2" t="s">
        <v>483</v>
      </c>
      <c r="B69" s="12">
        <v>46123.0</v>
      </c>
      <c r="C69" s="13" t="str">
        <f t="shared" si="1"/>
        <v>2026-04</v>
      </c>
      <c r="D69" s="12">
        <v>46149.0</v>
      </c>
      <c r="F69" s="2" t="s">
        <v>35</v>
      </c>
      <c r="G69" s="2" t="str">
        <f>VLOOKUP(F69,Tabela_1[#ALL],2,0)</f>
        <v>CoopVale</v>
      </c>
      <c r="H69" s="2" t="str">
        <f>VLOOKUP(F69,Tabela_1[#ALL],3,0)</f>
        <v>alimenticio</v>
      </c>
      <c r="I69" s="2" t="s">
        <v>39</v>
      </c>
      <c r="J69" s="2">
        <v>1.0</v>
      </c>
      <c r="K69" s="14">
        <v>132787.2</v>
      </c>
      <c r="L69" s="14">
        <v>118560.0</v>
      </c>
      <c r="M69" s="14">
        <v>14227.2</v>
      </c>
      <c r="N69" s="14">
        <v>410.0</v>
      </c>
      <c r="O69" s="14">
        <f t="shared" si="2"/>
        <v>13817.2</v>
      </c>
      <c r="P69" s="2" t="s">
        <v>2598</v>
      </c>
    </row>
    <row r="70" ht="22.5" customHeight="1">
      <c r="A70" s="2" t="s">
        <v>486</v>
      </c>
      <c r="B70" s="12">
        <v>46123.0</v>
      </c>
      <c r="C70" s="13" t="str">
        <f t="shared" si="1"/>
        <v>2026-04</v>
      </c>
      <c r="D70" s="12">
        <v>46155.0</v>
      </c>
      <c r="F70" s="2" t="s">
        <v>59</v>
      </c>
      <c r="G70" s="2" t="str">
        <f>VLOOKUP(F70,Tabela_1[#ALL],2,0)</f>
        <v>BioGenova</v>
      </c>
      <c r="H70" s="2" t="str">
        <f>VLOOKUP(F70,Tabela_1[#ALL],3,0)</f>
        <v>farmaceutico</v>
      </c>
      <c r="I70" s="2" t="s">
        <v>49</v>
      </c>
      <c r="J70" s="2">
        <v>2.0</v>
      </c>
      <c r="K70" s="14">
        <v>45372.6</v>
      </c>
      <c r="L70" s="14">
        <v>35649.9</v>
      </c>
      <c r="M70" s="14">
        <v>9722.7</v>
      </c>
      <c r="N70" s="14">
        <v>11156.0</v>
      </c>
      <c r="O70" s="14">
        <f t="shared" si="2"/>
        <v>-1433.3</v>
      </c>
      <c r="P70" s="2" t="s">
        <v>2598</v>
      </c>
    </row>
    <row r="71" ht="22.5" customHeight="1">
      <c r="A71" s="2" t="s">
        <v>491</v>
      </c>
      <c r="B71" s="12">
        <v>46123.0</v>
      </c>
      <c r="C71" s="13" t="str">
        <f t="shared" si="1"/>
        <v>2026-04</v>
      </c>
      <c r="D71" s="12">
        <v>46143.0</v>
      </c>
      <c r="E71" s="12">
        <v>46144.0</v>
      </c>
      <c r="F71" s="2" t="s">
        <v>78</v>
      </c>
      <c r="G71" s="2" t="str">
        <f>VLOOKUP(F71,Tabela_1[#ALL],2,0)</f>
        <v>Bom Sabor Alimentos</v>
      </c>
      <c r="H71" s="2" t="str">
        <f>VLOOKUP(F71,Tabela_1[#ALL],3,0)</f>
        <v>alimenticio</v>
      </c>
      <c r="I71" s="2" t="s">
        <v>39</v>
      </c>
      <c r="J71" s="2">
        <v>2.0</v>
      </c>
      <c r="K71" s="14">
        <v>25676.9</v>
      </c>
      <c r="L71" s="14">
        <v>20466.3</v>
      </c>
      <c r="M71" s="14">
        <v>5210.6</v>
      </c>
      <c r="N71" s="14">
        <v>512.0</v>
      </c>
      <c r="O71" s="14">
        <f t="shared" si="2"/>
        <v>4698.6</v>
      </c>
      <c r="P71" s="2" t="s">
        <v>2597</v>
      </c>
    </row>
    <row r="72" ht="22.5" customHeight="1">
      <c r="A72" s="2" t="s">
        <v>496</v>
      </c>
      <c r="B72" s="12">
        <v>46123.0</v>
      </c>
      <c r="C72" s="13" t="str">
        <f t="shared" si="1"/>
        <v>2026-04</v>
      </c>
      <c r="D72" s="12">
        <v>46152.0</v>
      </c>
      <c r="E72" s="12">
        <v>46150.0</v>
      </c>
      <c r="F72" s="2" t="s">
        <v>103</v>
      </c>
      <c r="G72" s="2" t="str">
        <f>VLOOKUP(F72,Tabela_1[#ALL],2,0)</f>
        <v>Sabor da Terra</v>
      </c>
      <c r="H72" s="2" t="str">
        <f>VLOOKUP(F72,Tabela_1[#ALL],3,0)</f>
        <v>alimenticio</v>
      </c>
      <c r="I72" s="2" t="s">
        <v>91</v>
      </c>
      <c r="J72" s="2">
        <v>1.0</v>
      </c>
      <c r="K72" s="14">
        <v>7638.4</v>
      </c>
      <c r="L72" s="14">
        <v>6820.0</v>
      </c>
      <c r="M72" s="14">
        <v>818.4</v>
      </c>
      <c r="N72" s="14">
        <v>2788.0</v>
      </c>
      <c r="O72" s="14">
        <f t="shared" si="2"/>
        <v>-1969.6</v>
      </c>
      <c r="P72" s="2" t="s">
        <v>2597</v>
      </c>
    </row>
    <row r="73" ht="22.5" customHeight="1">
      <c r="A73" s="2" t="s">
        <v>498</v>
      </c>
      <c r="B73" s="12">
        <v>46123.0</v>
      </c>
      <c r="C73" s="13" t="str">
        <f t="shared" si="1"/>
        <v>2026-04</v>
      </c>
      <c r="D73" s="12">
        <v>46148.0</v>
      </c>
      <c r="E73" s="12">
        <v>46148.0</v>
      </c>
      <c r="F73" s="2" t="s">
        <v>111</v>
      </c>
      <c r="G73" s="2" t="str">
        <f>VLOOKUP(F73,Tabela_1[#ALL],2,0)</f>
        <v>Salutar Farma Comércio</v>
      </c>
      <c r="H73" s="2" t="str">
        <f>VLOOKUP(F73,Tabela_1[#ALL],3,0)</f>
        <v>farmaceutico</v>
      </c>
      <c r="I73" s="2" t="s">
        <v>43</v>
      </c>
      <c r="J73" s="2">
        <v>1.0</v>
      </c>
      <c r="K73" s="14">
        <v>9475.2</v>
      </c>
      <c r="L73" s="14">
        <v>7444.8</v>
      </c>
      <c r="M73" s="14">
        <v>2030.4</v>
      </c>
      <c r="N73" s="14">
        <v>2012.0</v>
      </c>
      <c r="O73" s="14">
        <f t="shared" si="2"/>
        <v>18.4</v>
      </c>
      <c r="P73" s="2" t="s">
        <v>2597</v>
      </c>
    </row>
    <row r="74" ht="22.5" customHeight="1">
      <c r="A74" s="2" t="s">
        <v>499</v>
      </c>
      <c r="B74" s="12">
        <v>46123.0</v>
      </c>
      <c r="C74" s="13" t="str">
        <f t="shared" si="1"/>
        <v>2026-04</v>
      </c>
      <c r="D74" s="12">
        <v>46142.0</v>
      </c>
      <c r="E74" s="12">
        <v>46141.0</v>
      </c>
      <c r="F74" s="2" t="s">
        <v>173</v>
      </c>
      <c r="G74" s="2" t="str">
        <f>VLOOKUP(F74,Tabela_1[#ALL],2,0)</f>
        <v>Distribuidora Sul Sul Ltda</v>
      </c>
      <c r="H74" s="2" t="str">
        <f>VLOOKUP(F74,Tabela_1[#ALL],3,0)</f>
        <v>distribuidor</v>
      </c>
      <c r="I74" s="2" t="s">
        <v>56</v>
      </c>
      <c r="J74" s="2">
        <v>1.0</v>
      </c>
      <c r="K74" s="14">
        <v>11264.4</v>
      </c>
      <c r="L74" s="14">
        <v>9118.8</v>
      </c>
      <c r="M74" s="14">
        <v>2145.6</v>
      </c>
      <c r="N74" s="14">
        <v>2399.0</v>
      </c>
      <c r="O74" s="14">
        <f t="shared" si="2"/>
        <v>-253.4</v>
      </c>
      <c r="P74" s="2" t="s">
        <v>2597</v>
      </c>
    </row>
    <row r="75" ht="22.5" customHeight="1">
      <c r="A75" s="2" t="s">
        <v>501</v>
      </c>
      <c r="B75" s="12">
        <v>46123.0</v>
      </c>
      <c r="C75" s="13" t="str">
        <f t="shared" si="1"/>
        <v>2026-04</v>
      </c>
      <c r="D75" s="12">
        <v>46150.0</v>
      </c>
      <c r="F75" s="2" t="s">
        <v>209</v>
      </c>
      <c r="G75" s="2" t="str">
        <f>VLOOKUP(F75,Tabela_1[#ALL],2,0)</f>
        <v>Ciência da Vida Farma ME</v>
      </c>
      <c r="H75" s="2" t="str">
        <f>VLOOKUP(F75,Tabela_1[#ALL],3,0)</f>
        <v>farmaceutico</v>
      </c>
      <c r="I75" s="2" t="s">
        <v>49</v>
      </c>
      <c r="J75" s="2">
        <v>1.0</v>
      </c>
      <c r="K75" s="14">
        <v>10920.8</v>
      </c>
      <c r="L75" s="14">
        <v>9154.2</v>
      </c>
      <c r="M75" s="14">
        <v>1766.6</v>
      </c>
      <c r="N75" s="14">
        <v>3239.0</v>
      </c>
      <c r="O75" s="14">
        <f t="shared" si="2"/>
        <v>-1472.4</v>
      </c>
      <c r="P75" s="2" t="s">
        <v>2600</v>
      </c>
    </row>
    <row r="76" ht="22.5" customHeight="1">
      <c r="A76" s="2" t="s">
        <v>504</v>
      </c>
      <c r="B76" s="12">
        <v>46123.0</v>
      </c>
      <c r="C76" s="13" t="str">
        <f t="shared" si="1"/>
        <v>2026-04</v>
      </c>
      <c r="D76" s="12">
        <v>46153.0</v>
      </c>
      <c r="E76" s="12">
        <v>46153.0</v>
      </c>
      <c r="F76" s="2" t="s">
        <v>221</v>
      </c>
      <c r="G76" s="2" t="str">
        <f>VLOOKUP(F76,Tabela_1[#ALL],2,0)</f>
        <v>EssenciaPura EPP</v>
      </c>
      <c r="H76" s="2" t="str">
        <f>VLOOKUP(F76,Tabela_1[#ALL],3,0)</f>
        <v>cosmetico</v>
      </c>
      <c r="I76" s="2" t="s">
        <v>49</v>
      </c>
      <c r="J76" s="2">
        <v>1.0</v>
      </c>
      <c r="K76" s="14">
        <v>5863.2</v>
      </c>
      <c r="L76" s="14">
        <v>4606.8</v>
      </c>
      <c r="M76" s="14">
        <v>1256.4</v>
      </c>
      <c r="N76" s="14">
        <v>3122.0</v>
      </c>
      <c r="O76" s="14">
        <f t="shared" si="2"/>
        <v>-1865.6</v>
      </c>
      <c r="P76" s="2" t="s">
        <v>2597</v>
      </c>
    </row>
    <row r="77" ht="22.5" customHeight="1">
      <c r="A77" s="2" t="s">
        <v>506</v>
      </c>
      <c r="B77" s="12">
        <v>46124.0</v>
      </c>
      <c r="C77" s="13" t="str">
        <f t="shared" si="1"/>
        <v>2026-04</v>
      </c>
      <c r="D77" s="12">
        <v>46143.0</v>
      </c>
      <c r="E77" s="12">
        <v>46141.0</v>
      </c>
      <c r="F77" s="2" t="s">
        <v>28</v>
      </c>
      <c r="G77" s="2" t="str">
        <f>VLOOKUP(F77,Tabela_1[#ALL],2,0)</f>
        <v>CoopFrigo</v>
      </c>
      <c r="H77" s="2" t="str">
        <f>VLOOKUP(F77,Tabela_1[#ALL],3,0)</f>
        <v>alimenticio</v>
      </c>
      <c r="I77" s="2" t="s">
        <v>16</v>
      </c>
      <c r="J77" s="2">
        <v>3.0</v>
      </c>
      <c r="K77" s="14">
        <v>226367.7</v>
      </c>
      <c r="L77" s="14">
        <v>179491.1</v>
      </c>
      <c r="M77" s="14">
        <v>46876.6</v>
      </c>
      <c r="N77" s="14">
        <v>2019.0</v>
      </c>
      <c r="O77" s="14">
        <f t="shared" si="2"/>
        <v>44857.6</v>
      </c>
      <c r="P77" s="2" t="s">
        <v>2597</v>
      </c>
    </row>
    <row r="78" ht="22.5" customHeight="1">
      <c r="A78" s="2" t="s">
        <v>515</v>
      </c>
      <c r="B78" s="12">
        <v>46124.0</v>
      </c>
      <c r="C78" s="13" t="str">
        <f t="shared" si="1"/>
        <v>2026-04</v>
      </c>
      <c r="D78" s="12">
        <v>46159.0</v>
      </c>
      <c r="E78" s="12">
        <v>46161.0</v>
      </c>
      <c r="F78" s="2" t="s">
        <v>51</v>
      </c>
      <c r="G78" s="2" t="str">
        <f>VLOOKUP(F78,Tabela_1[#ALL],2,0)</f>
        <v>LogiPack</v>
      </c>
      <c r="H78" s="2" t="str">
        <f>VLOOKUP(F78,Tabela_1[#ALL],3,0)</f>
        <v>logistica</v>
      </c>
      <c r="I78" s="2" t="s">
        <v>56</v>
      </c>
      <c r="J78" s="2">
        <v>3.0</v>
      </c>
      <c r="K78" s="14">
        <v>50065.4</v>
      </c>
      <c r="L78" s="14">
        <v>41919.8</v>
      </c>
      <c r="M78" s="14">
        <v>8145.6</v>
      </c>
      <c r="N78" s="14">
        <v>1264.0</v>
      </c>
      <c r="O78" s="14">
        <f t="shared" si="2"/>
        <v>6881.6</v>
      </c>
      <c r="P78" s="2" t="s">
        <v>2597</v>
      </c>
    </row>
    <row r="79" ht="22.5" customHeight="1">
      <c r="A79" s="2" t="s">
        <v>520</v>
      </c>
      <c r="B79" s="12">
        <v>46124.0</v>
      </c>
      <c r="C79" s="13" t="str">
        <f t="shared" si="1"/>
        <v>2026-04</v>
      </c>
      <c r="D79" s="12">
        <v>46140.0</v>
      </c>
      <c r="F79" s="2" t="s">
        <v>61</v>
      </c>
      <c r="G79" s="2" t="str">
        <f>VLOOKUP(F79,Tabela_1[#ALL],2,0)</f>
        <v>Mercosul Atacado</v>
      </c>
      <c r="H79" s="2" t="str">
        <f>VLOOKUP(F79,Tabela_1[#ALL],3,0)</f>
        <v>distribuidor</v>
      </c>
      <c r="I79" s="2" t="s">
        <v>39</v>
      </c>
      <c r="J79" s="2">
        <v>3.0</v>
      </c>
      <c r="K79" s="14">
        <v>40537.0</v>
      </c>
      <c r="L79" s="14">
        <v>33268.3</v>
      </c>
      <c r="M79" s="14">
        <v>7268.7</v>
      </c>
      <c r="N79" s="14">
        <v>4111.0</v>
      </c>
      <c r="O79" s="14">
        <f t="shared" si="2"/>
        <v>3157.7</v>
      </c>
      <c r="P79" s="2" t="s">
        <v>2601</v>
      </c>
    </row>
    <row r="80" ht="22.5" customHeight="1">
      <c r="A80" s="2" t="s">
        <v>525</v>
      </c>
      <c r="B80" s="12">
        <v>46124.0</v>
      </c>
      <c r="C80" s="13" t="str">
        <f t="shared" si="1"/>
        <v>2026-04</v>
      </c>
      <c r="D80" s="12">
        <v>46149.0</v>
      </c>
      <c r="E80" s="12">
        <v>46148.0</v>
      </c>
      <c r="F80" s="2" t="s">
        <v>183</v>
      </c>
      <c r="G80" s="2" t="str">
        <f>VLOOKUP(F80,Tabela_1[#ALL],2,0)</f>
        <v>Distrib. Litoral Sul S.A.</v>
      </c>
      <c r="H80" s="2" t="str">
        <f>VLOOKUP(F80,Tabela_1[#ALL],3,0)</f>
        <v>distribuidor</v>
      </c>
      <c r="I80" s="2" t="s">
        <v>39</v>
      </c>
      <c r="J80" s="2">
        <v>1.0</v>
      </c>
      <c r="K80" s="14">
        <v>16464.0</v>
      </c>
      <c r="L80" s="14">
        <v>14700.0</v>
      </c>
      <c r="M80" s="14">
        <v>1764.0</v>
      </c>
      <c r="N80" s="14">
        <v>1288.0</v>
      </c>
      <c r="O80" s="14">
        <f t="shared" si="2"/>
        <v>476</v>
      </c>
      <c r="P80" s="2" t="s">
        <v>2597</v>
      </c>
    </row>
    <row r="81" ht="22.5" customHeight="1">
      <c r="A81" s="2" t="s">
        <v>526</v>
      </c>
      <c r="B81" s="12">
        <v>46124.0</v>
      </c>
      <c r="C81" s="13" t="str">
        <f t="shared" si="1"/>
        <v>2026-04</v>
      </c>
      <c r="D81" s="12">
        <v>46149.0</v>
      </c>
      <c r="E81" s="12">
        <v>46147.0</v>
      </c>
      <c r="F81" s="2" t="s">
        <v>189</v>
      </c>
      <c r="G81" s="2" t="str">
        <f>VLOOKUP(F81,Tabela_1[#ALL],2,0)</f>
        <v>EnviaTudo Cooperativa (Joinville)</v>
      </c>
      <c r="H81" s="2" t="str">
        <f>VLOOKUP(F81,Tabela_1[#ALL],3,0)</f>
        <v>ecommerce</v>
      </c>
      <c r="I81" s="2" t="s">
        <v>22</v>
      </c>
      <c r="J81" s="2">
        <v>3.0</v>
      </c>
      <c r="K81" s="14">
        <v>21128.6</v>
      </c>
      <c r="L81" s="14">
        <v>17515.2</v>
      </c>
      <c r="M81" s="14">
        <v>3613.4</v>
      </c>
      <c r="N81" s="14">
        <v>3780.0</v>
      </c>
      <c r="O81" s="14">
        <f t="shared" si="2"/>
        <v>-166.6</v>
      </c>
      <c r="P81" s="2" t="s">
        <v>2597</v>
      </c>
    </row>
    <row r="82" ht="22.5" customHeight="1">
      <c r="A82" s="2" t="s">
        <v>530</v>
      </c>
      <c r="B82" s="12">
        <v>46124.0</v>
      </c>
      <c r="C82" s="13" t="str">
        <f t="shared" si="1"/>
        <v>2026-04</v>
      </c>
      <c r="D82" s="12">
        <v>46146.0</v>
      </c>
      <c r="F82" s="2" t="s">
        <v>195</v>
      </c>
      <c r="G82" s="2" t="str">
        <f>VLOOKUP(F82,Tabela_1[#ALL],2,0)</f>
        <v>Lumen Beauty</v>
      </c>
      <c r="H82" s="2" t="str">
        <f>VLOOKUP(F82,Tabela_1[#ALL],3,0)</f>
        <v>cosmetico</v>
      </c>
      <c r="I82" s="2" t="s">
        <v>43</v>
      </c>
      <c r="J82" s="2">
        <v>1.0</v>
      </c>
      <c r="K82" s="14">
        <v>61298.6</v>
      </c>
      <c r="L82" s="14">
        <v>51382.65</v>
      </c>
      <c r="M82" s="14">
        <v>9915.95</v>
      </c>
      <c r="N82" s="14">
        <v>599.0</v>
      </c>
      <c r="O82" s="14">
        <f t="shared" si="2"/>
        <v>9316.95</v>
      </c>
      <c r="P82" s="2" t="s">
        <v>2598</v>
      </c>
    </row>
    <row r="83" ht="22.5" customHeight="1">
      <c r="A83" s="2" t="s">
        <v>534</v>
      </c>
      <c r="B83" s="12">
        <v>46124.0</v>
      </c>
      <c r="C83" s="13" t="str">
        <f t="shared" si="1"/>
        <v>2026-04</v>
      </c>
      <c r="D83" s="12">
        <v>46148.0</v>
      </c>
      <c r="E83" s="12">
        <v>46156.0</v>
      </c>
      <c r="F83" s="2" t="s">
        <v>201</v>
      </c>
      <c r="G83" s="2" t="str">
        <f>VLOOKUP(F83,Tabela_1[#ALL],2,0)</f>
        <v>PackExpress Ltda</v>
      </c>
      <c r="H83" s="2" t="str">
        <f>VLOOKUP(F83,Tabela_1[#ALL],3,0)</f>
        <v>ecommerce</v>
      </c>
      <c r="I83" s="2" t="s">
        <v>56</v>
      </c>
      <c r="J83" s="2">
        <v>3.0</v>
      </c>
      <c r="K83" s="14">
        <v>18106.2</v>
      </c>
      <c r="L83" s="14">
        <v>14226.3</v>
      </c>
      <c r="M83" s="14">
        <v>3879.9</v>
      </c>
      <c r="N83" s="14">
        <v>768.0</v>
      </c>
      <c r="O83" s="14">
        <f t="shared" si="2"/>
        <v>3111.9</v>
      </c>
      <c r="P83" s="2" t="s">
        <v>2599</v>
      </c>
    </row>
    <row r="84" ht="22.5" customHeight="1">
      <c r="A84" s="2" t="s">
        <v>536</v>
      </c>
      <c r="B84" s="12">
        <v>46124.0</v>
      </c>
      <c r="C84" s="13" t="str">
        <f t="shared" si="1"/>
        <v>2026-04</v>
      </c>
      <c r="D84" s="12">
        <v>46158.0</v>
      </c>
      <c r="E84" s="12">
        <v>46158.0</v>
      </c>
      <c r="F84" s="2" t="s">
        <v>217</v>
      </c>
      <c r="G84" s="2" t="str">
        <f>VLOOKUP(F84,Tabela_1[#ALL],2,0)</f>
        <v>Cherie Cosméticos Ltda</v>
      </c>
      <c r="H84" s="2" t="str">
        <f>VLOOKUP(F84,Tabela_1[#ALL],3,0)</f>
        <v>cosmetico</v>
      </c>
      <c r="I84" s="2" t="s">
        <v>56</v>
      </c>
      <c r="J84" s="2">
        <v>1.0</v>
      </c>
      <c r="K84" s="14">
        <v>5128.2</v>
      </c>
      <c r="L84" s="14">
        <v>4151.4</v>
      </c>
      <c r="M84" s="14">
        <v>976.8</v>
      </c>
      <c r="N84" s="14">
        <v>2901.0</v>
      </c>
      <c r="O84" s="14">
        <f t="shared" si="2"/>
        <v>-1924.2</v>
      </c>
      <c r="P84" s="2" t="s">
        <v>2597</v>
      </c>
    </row>
    <row r="85" ht="22.5" customHeight="1">
      <c r="A85" s="2" t="s">
        <v>538</v>
      </c>
      <c r="B85" s="12">
        <v>46124.0</v>
      </c>
      <c r="C85" s="13" t="str">
        <f t="shared" si="1"/>
        <v>2026-04</v>
      </c>
      <c r="D85" s="12">
        <v>46159.0</v>
      </c>
      <c r="E85" s="12">
        <v>46159.0</v>
      </c>
      <c r="F85" s="2" t="s">
        <v>239</v>
      </c>
      <c r="G85" s="2" t="str">
        <f>VLOOKUP(F85,Tabela_1[#ALL],2,0)</f>
        <v>FreteFix Comércio</v>
      </c>
      <c r="H85" s="2" t="str">
        <f>VLOOKUP(F85,Tabela_1[#ALL],3,0)</f>
        <v>logistica</v>
      </c>
      <c r="I85" s="2" t="s">
        <v>56</v>
      </c>
      <c r="J85" s="2">
        <v>2.0</v>
      </c>
      <c r="K85" s="14">
        <v>28029.4</v>
      </c>
      <c r="L85" s="14">
        <v>22341.4</v>
      </c>
      <c r="M85" s="14">
        <v>5688.0</v>
      </c>
      <c r="N85" s="14">
        <v>2813.0</v>
      </c>
      <c r="O85" s="14">
        <f t="shared" si="2"/>
        <v>2875</v>
      </c>
      <c r="P85" s="2" t="s">
        <v>2597</v>
      </c>
    </row>
    <row r="86" ht="22.5" customHeight="1">
      <c r="A86" s="2" t="s">
        <v>542</v>
      </c>
      <c r="B86" s="12">
        <v>46125.0</v>
      </c>
      <c r="C86" s="13" t="str">
        <f t="shared" si="1"/>
        <v>2026-04</v>
      </c>
      <c r="D86" s="12">
        <v>46141.0</v>
      </c>
      <c r="E86" s="12">
        <v>46140.0</v>
      </c>
      <c r="F86" s="2" t="s">
        <v>19</v>
      </c>
      <c r="G86" s="2" t="str">
        <f>VLOOKUP(F86,Tabela_1[#ALL],2,0)</f>
        <v>NorteAgro</v>
      </c>
      <c r="H86" s="2" t="str">
        <f>VLOOKUP(F86,Tabela_1[#ALL],3,0)</f>
        <v>alimenticio</v>
      </c>
      <c r="I86" s="2" t="s">
        <v>22</v>
      </c>
      <c r="J86" s="2">
        <v>2.0</v>
      </c>
      <c r="K86" s="14">
        <v>172611.2</v>
      </c>
      <c r="L86" s="14">
        <v>129458.4</v>
      </c>
      <c r="M86" s="14">
        <v>43152.8</v>
      </c>
      <c r="N86" s="14">
        <v>9418.0</v>
      </c>
      <c r="O86" s="14">
        <f t="shared" si="2"/>
        <v>33734.8</v>
      </c>
      <c r="P86" s="2" t="s">
        <v>2597</v>
      </c>
    </row>
    <row r="87" ht="22.5" customHeight="1">
      <c r="A87" s="2" t="s">
        <v>546</v>
      </c>
      <c r="B87" s="12">
        <v>46125.0</v>
      </c>
      <c r="C87" s="13" t="str">
        <f t="shared" si="1"/>
        <v>2026-04</v>
      </c>
      <c r="D87" s="12">
        <v>46140.0</v>
      </c>
      <c r="E87" s="12">
        <v>46142.0</v>
      </c>
      <c r="F87" s="2" t="s">
        <v>126</v>
      </c>
      <c r="G87" s="2" t="str">
        <f>VLOOKUP(F87,Tabela_1[#ALL],2,0)</f>
        <v>Biolatina Indústria Cooperativa</v>
      </c>
      <c r="H87" s="2" t="str">
        <f>VLOOKUP(F87,Tabela_1[#ALL],3,0)</f>
        <v>farmaceutico</v>
      </c>
      <c r="I87" s="2" t="s">
        <v>43</v>
      </c>
      <c r="J87" s="2">
        <v>3.0</v>
      </c>
      <c r="K87" s="14">
        <v>21517.0</v>
      </c>
      <c r="L87" s="14">
        <v>16650.0</v>
      </c>
      <c r="M87" s="14">
        <v>4867.0</v>
      </c>
      <c r="N87" s="14">
        <v>8066.0</v>
      </c>
      <c r="O87" s="14">
        <f t="shared" si="2"/>
        <v>-3199</v>
      </c>
      <c r="P87" s="2" t="s">
        <v>2597</v>
      </c>
    </row>
    <row r="88" ht="22.5" customHeight="1">
      <c r="A88" s="2" t="s">
        <v>550</v>
      </c>
      <c r="B88" s="12">
        <v>46125.0</v>
      </c>
      <c r="C88" s="13" t="str">
        <f t="shared" si="1"/>
        <v>2026-04</v>
      </c>
      <c r="D88" s="12">
        <v>46160.0</v>
      </c>
      <c r="F88" s="2" t="s">
        <v>140</v>
      </c>
      <c r="G88" s="2" t="str">
        <f>VLOOKUP(F88,Tabela_1[#ALL],2,0)</f>
        <v>EssenciaPura Comércio</v>
      </c>
      <c r="H88" s="2" t="str">
        <f>VLOOKUP(F88,Tabela_1[#ALL],3,0)</f>
        <v>cosmetico</v>
      </c>
      <c r="I88" s="2" t="s">
        <v>56</v>
      </c>
      <c r="J88" s="2">
        <v>3.0</v>
      </c>
      <c r="K88" s="14">
        <v>7285.9</v>
      </c>
      <c r="L88" s="14">
        <v>5979.7</v>
      </c>
      <c r="M88" s="14">
        <v>1306.2</v>
      </c>
      <c r="N88" s="14">
        <v>1960.0</v>
      </c>
      <c r="O88" s="14">
        <f t="shared" si="2"/>
        <v>-653.8</v>
      </c>
      <c r="P88" s="2" t="s">
        <v>2601</v>
      </c>
    </row>
    <row r="89" ht="22.5" customHeight="1">
      <c r="A89" s="2" t="s">
        <v>554</v>
      </c>
      <c r="B89" s="12">
        <v>46125.0</v>
      </c>
      <c r="C89" s="13" t="str">
        <f t="shared" si="1"/>
        <v>2026-04</v>
      </c>
      <c r="D89" s="12">
        <v>46158.0</v>
      </c>
      <c r="E89" s="12">
        <v>46157.0</v>
      </c>
      <c r="F89" s="2" t="s">
        <v>153</v>
      </c>
      <c r="G89" s="2" t="str">
        <f>VLOOKUP(F89,Tabela_1[#ALL],2,0)</f>
        <v>Mercatto S.A.</v>
      </c>
      <c r="H89" s="2" t="str">
        <f>VLOOKUP(F89,Tabela_1[#ALL],3,0)</f>
        <v>varejo</v>
      </c>
      <c r="I89" s="2" t="s">
        <v>91</v>
      </c>
      <c r="J89" s="2">
        <v>1.0</v>
      </c>
      <c r="K89" s="14">
        <v>6412.0</v>
      </c>
      <c r="L89" s="14">
        <v>5725.0</v>
      </c>
      <c r="M89" s="14">
        <v>687.0</v>
      </c>
      <c r="N89" s="14">
        <v>1098.0</v>
      </c>
      <c r="O89" s="14">
        <f t="shared" si="2"/>
        <v>-411</v>
      </c>
      <c r="P89" s="2" t="s">
        <v>2597</v>
      </c>
    </row>
    <row r="90" ht="22.5" customHeight="1">
      <c r="A90" s="2" t="s">
        <v>555</v>
      </c>
      <c r="B90" s="12">
        <v>46125.0</v>
      </c>
      <c r="C90" s="13" t="str">
        <f t="shared" si="1"/>
        <v>2026-04</v>
      </c>
      <c r="D90" s="12">
        <v>46149.0</v>
      </c>
      <c r="F90" s="2" t="s">
        <v>173</v>
      </c>
      <c r="G90" s="2" t="str">
        <f>VLOOKUP(F90,Tabela_1[#ALL],2,0)</f>
        <v>Distribuidora Sul Sul Ltda</v>
      </c>
      <c r="H90" s="2" t="str">
        <f>VLOOKUP(F90,Tabela_1[#ALL],3,0)</f>
        <v>distribuidor</v>
      </c>
      <c r="I90" s="2" t="s">
        <v>56</v>
      </c>
      <c r="J90" s="2">
        <v>3.0</v>
      </c>
      <c r="K90" s="14">
        <v>16333.8</v>
      </c>
      <c r="L90" s="14">
        <v>13676.2</v>
      </c>
      <c r="M90" s="14">
        <v>2657.6</v>
      </c>
      <c r="N90" s="14">
        <v>2129.0</v>
      </c>
      <c r="O90" s="14">
        <f t="shared" si="2"/>
        <v>528.6</v>
      </c>
      <c r="P90" s="2" t="s">
        <v>2601</v>
      </c>
    </row>
    <row r="91" ht="22.5" customHeight="1">
      <c r="A91" s="2" t="s">
        <v>559</v>
      </c>
      <c r="B91" s="12">
        <v>46125.0</v>
      </c>
      <c r="C91" s="13" t="str">
        <f t="shared" si="1"/>
        <v>2026-04</v>
      </c>
      <c r="D91" s="12">
        <v>46154.0</v>
      </c>
      <c r="F91" s="2" t="s">
        <v>187</v>
      </c>
      <c r="G91" s="2" t="str">
        <f>VLOOKUP(F91,Tabela_1[#ALL],2,0)</f>
        <v>Granoma Alimentos EPP</v>
      </c>
      <c r="H91" s="2" t="str">
        <f>VLOOKUP(F91,Tabela_1[#ALL],3,0)</f>
        <v>alimenticio</v>
      </c>
      <c r="I91" s="2" t="s">
        <v>22</v>
      </c>
      <c r="J91" s="2">
        <v>3.0</v>
      </c>
      <c r="K91" s="14">
        <v>9460.9</v>
      </c>
      <c r="L91" s="14">
        <v>8106.0</v>
      </c>
      <c r="M91" s="14">
        <v>1354.9</v>
      </c>
      <c r="N91" s="14">
        <v>1571.0</v>
      </c>
      <c r="O91" s="14">
        <f t="shared" si="2"/>
        <v>-216.1</v>
      </c>
      <c r="P91" s="2" t="s">
        <v>2598</v>
      </c>
    </row>
    <row r="92" ht="22.5" customHeight="1">
      <c r="A92" s="2" t="s">
        <v>562</v>
      </c>
      <c r="B92" s="12">
        <v>46125.0</v>
      </c>
      <c r="C92" s="13" t="str">
        <f t="shared" si="1"/>
        <v>2026-04</v>
      </c>
      <c r="D92" s="12">
        <v>46142.0</v>
      </c>
      <c r="E92" s="12">
        <v>46144.0</v>
      </c>
      <c r="F92" s="2" t="s">
        <v>197</v>
      </c>
      <c r="G92" s="2" t="str">
        <f>VLOOKUP(F92,Tabela_1[#ALL],2,0)</f>
        <v>Sabor Forte Alimentos Indústria</v>
      </c>
      <c r="H92" s="2" t="str">
        <f>VLOOKUP(F92,Tabela_1[#ALL],3,0)</f>
        <v>alimenticio</v>
      </c>
      <c r="I92" s="2" t="s">
        <v>49</v>
      </c>
      <c r="J92" s="2">
        <v>3.0</v>
      </c>
      <c r="K92" s="14">
        <v>9710.4</v>
      </c>
      <c r="L92" s="14">
        <v>7860.8</v>
      </c>
      <c r="M92" s="14">
        <v>1849.6</v>
      </c>
      <c r="N92" s="14">
        <v>2453.0</v>
      </c>
      <c r="O92" s="14">
        <f t="shared" si="2"/>
        <v>-603.4</v>
      </c>
      <c r="P92" s="2" t="s">
        <v>2597</v>
      </c>
    </row>
    <row r="93" ht="22.5" customHeight="1">
      <c r="A93" s="2" t="s">
        <v>564</v>
      </c>
      <c r="B93" s="12">
        <v>46125.0</v>
      </c>
      <c r="C93" s="13" t="str">
        <f t="shared" si="1"/>
        <v>2026-04</v>
      </c>
      <c r="D93" s="12">
        <v>46160.0</v>
      </c>
      <c r="E93" s="12">
        <v>46160.0</v>
      </c>
      <c r="F93" s="2" t="s">
        <v>213</v>
      </c>
      <c r="G93" s="2" t="str">
        <f>VLOOKUP(F93,Tabela_1[#ALL],2,0)</f>
        <v>Doce Vale ME</v>
      </c>
      <c r="H93" s="2" t="str">
        <f>VLOOKUP(F93,Tabela_1[#ALL],3,0)</f>
        <v>alimenticio</v>
      </c>
      <c r="I93" s="2" t="s">
        <v>39</v>
      </c>
      <c r="J93" s="2">
        <v>3.0</v>
      </c>
      <c r="K93" s="14">
        <v>21873.6</v>
      </c>
      <c r="L93" s="14">
        <v>18314.8</v>
      </c>
      <c r="M93" s="14">
        <v>3558.8</v>
      </c>
      <c r="N93" s="14">
        <v>1568.0</v>
      </c>
      <c r="O93" s="14">
        <f t="shared" si="2"/>
        <v>1990.8</v>
      </c>
      <c r="P93" s="2" t="s">
        <v>2597</v>
      </c>
    </row>
    <row r="94" ht="22.5" customHeight="1">
      <c r="A94" s="2" t="s">
        <v>567</v>
      </c>
      <c r="B94" s="12">
        <v>46125.0</v>
      </c>
      <c r="C94" s="13" t="str">
        <f t="shared" si="1"/>
        <v>2026-04</v>
      </c>
      <c r="D94" s="12">
        <v>46158.0</v>
      </c>
      <c r="E94" s="12">
        <v>46157.0</v>
      </c>
      <c r="F94" s="2" t="s">
        <v>227</v>
      </c>
      <c r="G94" s="2" t="str">
        <f>VLOOKUP(F94,Tabela_1[#ALL],2,0)</f>
        <v>Granoma Alimentos Indústria</v>
      </c>
      <c r="H94" s="2" t="str">
        <f>VLOOKUP(F94,Tabela_1[#ALL],3,0)</f>
        <v>alimenticio</v>
      </c>
      <c r="I94" s="2" t="s">
        <v>56</v>
      </c>
      <c r="J94" s="2">
        <v>2.0</v>
      </c>
      <c r="K94" s="14">
        <v>31634.4</v>
      </c>
      <c r="L94" s="14">
        <v>24855.6</v>
      </c>
      <c r="M94" s="14">
        <v>6778.8</v>
      </c>
      <c r="N94" s="14">
        <v>605.0</v>
      </c>
      <c r="O94" s="14">
        <f t="shared" si="2"/>
        <v>6173.8</v>
      </c>
      <c r="P94" s="2" t="s">
        <v>2597</v>
      </c>
    </row>
    <row r="95" ht="22.5" customHeight="1">
      <c r="A95" s="2" t="s">
        <v>570</v>
      </c>
      <c r="B95" s="12">
        <v>46126.0</v>
      </c>
      <c r="C95" s="13" t="str">
        <f t="shared" si="1"/>
        <v>2026-04</v>
      </c>
      <c r="D95" s="12">
        <v>46152.0</v>
      </c>
      <c r="E95" s="12">
        <v>46150.0</v>
      </c>
      <c r="F95" s="2" t="s">
        <v>31</v>
      </c>
      <c r="G95" s="2" t="str">
        <f>VLOOKUP(F95,Tabela_1[#ALL],2,0)</f>
        <v>Distribuidora Sul PR</v>
      </c>
      <c r="H95" s="2" t="str">
        <f>VLOOKUP(F95,Tabela_1[#ALL],3,0)</f>
        <v>distribuidor</v>
      </c>
      <c r="I95" s="2" t="s">
        <v>16</v>
      </c>
      <c r="J95" s="2">
        <v>3.0</v>
      </c>
      <c r="K95" s="14">
        <v>55383.6</v>
      </c>
      <c r="L95" s="14">
        <v>47451.5</v>
      </c>
      <c r="M95" s="14">
        <v>7932.1</v>
      </c>
      <c r="N95" s="14">
        <v>11534.0</v>
      </c>
      <c r="O95" s="14">
        <f t="shared" si="2"/>
        <v>-3601.9</v>
      </c>
      <c r="P95" s="2" t="s">
        <v>2597</v>
      </c>
    </row>
    <row r="96" ht="22.5" customHeight="1">
      <c r="A96" s="2" t="s">
        <v>574</v>
      </c>
      <c r="B96" s="12">
        <v>46126.0</v>
      </c>
      <c r="C96" s="13" t="str">
        <f t="shared" si="1"/>
        <v>2026-04</v>
      </c>
      <c r="D96" s="12">
        <v>46148.0</v>
      </c>
      <c r="E96" s="12">
        <v>46148.0</v>
      </c>
      <c r="F96" s="2" t="s">
        <v>45</v>
      </c>
      <c r="G96" s="2" t="str">
        <f>VLOOKUP(F96,Tabela_1[#ALL],2,0)</f>
        <v>Bell Beauty</v>
      </c>
      <c r="H96" s="2" t="str">
        <f>VLOOKUP(F96,Tabela_1[#ALL],3,0)</f>
        <v>cosmetico</v>
      </c>
      <c r="I96" s="2" t="s">
        <v>49</v>
      </c>
      <c r="J96" s="2">
        <v>3.0</v>
      </c>
      <c r="K96" s="14">
        <v>72466.8</v>
      </c>
      <c r="L96" s="14">
        <v>56938.2</v>
      </c>
      <c r="M96" s="14">
        <v>15528.6</v>
      </c>
      <c r="N96" s="14">
        <v>9696.0</v>
      </c>
      <c r="O96" s="14">
        <f t="shared" si="2"/>
        <v>5832.6</v>
      </c>
      <c r="P96" s="2" t="s">
        <v>2597</v>
      </c>
    </row>
    <row r="97" ht="22.5" customHeight="1">
      <c r="A97" s="2" t="s">
        <v>579</v>
      </c>
      <c r="B97" s="12">
        <v>46126.0</v>
      </c>
      <c r="C97" s="13" t="str">
        <f t="shared" si="1"/>
        <v>2026-04</v>
      </c>
      <c r="D97" s="12">
        <v>46158.0</v>
      </c>
      <c r="F97" s="2" t="s">
        <v>61</v>
      </c>
      <c r="G97" s="2" t="str">
        <f>VLOOKUP(F97,Tabela_1[#ALL],2,0)</f>
        <v>Mercosul Atacado</v>
      </c>
      <c r="H97" s="2" t="str">
        <f>VLOOKUP(F97,Tabela_1[#ALL],3,0)</f>
        <v>distribuidor</v>
      </c>
      <c r="I97" s="2" t="s">
        <v>39</v>
      </c>
      <c r="J97" s="2">
        <v>1.0</v>
      </c>
      <c r="K97" s="14">
        <v>86170.5</v>
      </c>
      <c r="L97" s="14">
        <v>67610.7</v>
      </c>
      <c r="M97" s="14">
        <v>18559.8</v>
      </c>
      <c r="N97" s="14">
        <v>3101.0</v>
      </c>
      <c r="O97" s="14">
        <f t="shared" si="2"/>
        <v>15458.8</v>
      </c>
      <c r="P97" s="2" t="s">
        <v>2600</v>
      </c>
    </row>
    <row r="98" ht="22.5" customHeight="1">
      <c r="A98" s="2" t="s">
        <v>583</v>
      </c>
      <c r="B98" s="12">
        <v>46126.0</v>
      </c>
      <c r="C98" s="13" t="str">
        <f t="shared" si="1"/>
        <v>2026-04</v>
      </c>
      <c r="D98" s="12">
        <v>46144.0</v>
      </c>
      <c r="F98" s="2" t="s">
        <v>74</v>
      </c>
      <c r="G98" s="2" t="str">
        <f>VLOOKUP(F98,Tabela_1[#ALL],2,0)</f>
        <v>EnvioFácil</v>
      </c>
      <c r="H98" s="2" t="str">
        <f>VLOOKUP(F98,Tabela_1[#ALL],3,0)</f>
        <v>ecommerce</v>
      </c>
      <c r="I98" s="2" t="s">
        <v>56</v>
      </c>
      <c r="J98" s="2">
        <v>3.0</v>
      </c>
      <c r="K98" s="14">
        <v>7449.4</v>
      </c>
      <c r="L98" s="14">
        <v>6444.4</v>
      </c>
      <c r="M98" s="14">
        <v>1005.0</v>
      </c>
      <c r="N98" s="14">
        <v>1648.0</v>
      </c>
      <c r="O98" s="14">
        <f t="shared" si="2"/>
        <v>-643</v>
      </c>
      <c r="P98" s="2" t="s">
        <v>2601</v>
      </c>
    </row>
    <row r="99" ht="22.5" customHeight="1">
      <c r="A99" s="2" t="s">
        <v>586</v>
      </c>
      <c r="B99" s="12">
        <v>46126.0</v>
      </c>
      <c r="C99" s="13" t="str">
        <f t="shared" si="1"/>
        <v>2026-04</v>
      </c>
      <c r="D99" s="12">
        <v>46142.0</v>
      </c>
      <c r="E99" s="12">
        <v>46143.0</v>
      </c>
      <c r="F99" s="2" t="s">
        <v>108</v>
      </c>
      <c r="G99" s="2" t="str">
        <f>VLOOKUP(F99,Tabela_1[#ALL],2,0)</f>
        <v>Ciência da Vida Farma</v>
      </c>
      <c r="H99" s="2" t="str">
        <f>VLOOKUP(F99,Tabela_1[#ALL],3,0)</f>
        <v>farmaceutico</v>
      </c>
      <c r="I99" s="2" t="s">
        <v>91</v>
      </c>
      <c r="J99" s="2">
        <v>1.0</v>
      </c>
      <c r="K99" s="14">
        <v>47426.4</v>
      </c>
      <c r="L99" s="14">
        <v>42345.0</v>
      </c>
      <c r="M99" s="14">
        <v>5081.4</v>
      </c>
      <c r="N99" s="14">
        <v>1611.0</v>
      </c>
      <c r="O99" s="14">
        <f t="shared" si="2"/>
        <v>3470.4</v>
      </c>
      <c r="P99" s="2" t="s">
        <v>2597</v>
      </c>
    </row>
    <row r="100" ht="22.5" customHeight="1">
      <c r="A100" s="2" t="s">
        <v>588</v>
      </c>
      <c r="B100" s="12">
        <v>46126.0</v>
      </c>
      <c r="C100" s="13" t="str">
        <f t="shared" si="1"/>
        <v>2026-04</v>
      </c>
      <c r="D100" s="12">
        <v>46152.0</v>
      </c>
      <c r="F100" s="2" t="s">
        <v>111</v>
      </c>
      <c r="G100" s="2" t="str">
        <f>VLOOKUP(F100,Tabela_1[#ALL],2,0)</f>
        <v>Salutar Farma Comércio</v>
      </c>
      <c r="H100" s="2" t="str">
        <f>VLOOKUP(F100,Tabela_1[#ALL],3,0)</f>
        <v>farmaceutico</v>
      </c>
      <c r="I100" s="2" t="s">
        <v>43</v>
      </c>
      <c r="J100" s="2">
        <v>2.0</v>
      </c>
      <c r="K100" s="14">
        <v>10006.2</v>
      </c>
      <c r="L100" s="14">
        <v>8387.55</v>
      </c>
      <c r="M100" s="14">
        <v>1618.65</v>
      </c>
      <c r="N100" s="14">
        <v>2619.0</v>
      </c>
      <c r="O100" s="14">
        <f t="shared" si="2"/>
        <v>-1000.35</v>
      </c>
      <c r="P100" s="2" t="s">
        <v>2601</v>
      </c>
    </row>
    <row r="101" ht="22.5" customHeight="1">
      <c r="A101" s="2" t="s">
        <v>592</v>
      </c>
      <c r="B101" s="12">
        <v>46126.0</v>
      </c>
      <c r="C101" s="13" t="str">
        <f t="shared" si="1"/>
        <v>2026-04</v>
      </c>
      <c r="D101" s="12">
        <v>46156.0</v>
      </c>
      <c r="E101" s="12">
        <v>46153.0</v>
      </c>
      <c r="F101" s="2" t="s">
        <v>124</v>
      </c>
      <c r="G101" s="2" t="str">
        <f>VLOOKUP(F101,Tabela_1[#ALL],2,0)</f>
        <v>Mercatto Indústria</v>
      </c>
      <c r="H101" s="2" t="str">
        <f>VLOOKUP(F101,Tabela_1[#ALL],3,0)</f>
        <v>varejo</v>
      </c>
      <c r="I101" s="2" t="s">
        <v>49</v>
      </c>
      <c r="J101" s="2">
        <v>2.0</v>
      </c>
      <c r="K101" s="14">
        <v>9539.4</v>
      </c>
      <c r="L101" s="14">
        <v>8000.9</v>
      </c>
      <c r="M101" s="14">
        <v>1538.5</v>
      </c>
      <c r="N101" s="14">
        <v>2076.0</v>
      </c>
      <c r="O101" s="14">
        <f t="shared" si="2"/>
        <v>-537.5</v>
      </c>
      <c r="P101" s="2" t="s">
        <v>2597</v>
      </c>
    </row>
    <row r="102" ht="22.5" customHeight="1">
      <c r="A102" s="2" t="s">
        <v>595</v>
      </c>
      <c r="B102" s="12">
        <v>46126.0</v>
      </c>
      <c r="C102" s="13" t="str">
        <f t="shared" si="1"/>
        <v>2026-04</v>
      </c>
      <c r="D102" s="12">
        <v>46148.0</v>
      </c>
      <c r="F102" s="2" t="s">
        <v>143</v>
      </c>
      <c r="G102" s="2" t="str">
        <f>VLOOKUP(F102,Tabela_1[#ALL],2,0)</f>
        <v>Rede Vita ME</v>
      </c>
      <c r="H102" s="2" t="str">
        <f>VLOOKUP(F102,Tabela_1[#ALL],3,0)</f>
        <v>varejo</v>
      </c>
      <c r="I102" s="2" t="s">
        <v>91</v>
      </c>
      <c r="J102" s="2">
        <v>3.0</v>
      </c>
      <c r="K102" s="14">
        <v>8200.7</v>
      </c>
      <c r="L102" s="14">
        <v>6502.5</v>
      </c>
      <c r="M102" s="14">
        <v>1698.2</v>
      </c>
      <c r="N102" s="14">
        <v>6720.0</v>
      </c>
      <c r="O102" s="14">
        <f t="shared" si="2"/>
        <v>-5021.8</v>
      </c>
      <c r="P102" s="2" t="s">
        <v>2601</v>
      </c>
    </row>
    <row r="103" ht="22.5" customHeight="1">
      <c r="A103" s="2" t="s">
        <v>598</v>
      </c>
      <c r="B103" s="12">
        <v>46126.0</v>
      </c>
      <c r="C103" s="13" t="str">
        <f t="shared" si="1"/>
        <v>2026-04</v>
      </c>
      <c r="D103" s="12">
        <v>46156.0</v>
      </c>
      <c r="E103" s="12">
        <v>46157.0</v>
      </c>
      <c r="F103" s="2" t="s">
        <v>157</v>
      </c>
      <c r="G103" s="2" t="str">
        <f>VLOOKUP(F103,Tabela_1[#ALL],2,0)</f>
        <v>Mercosul Comércio EPP</v>
      </c>
      <c r="H103" s="2" t="str">
        <f>VLOOKUP(F103,Tabela_1[#ALL],3,0)</f>
        <v>distribuidor</v>
      </c>
      <c r="I103" s="2" t="s">
        <v>49</v>
      </c>
      <c r="J103" s="2">
        <v>2.0</v>
      </c>
      <c r="K103" s="14">
        <v>30413.6</v>
      </c>
      <c r="L103" s="14">
        <v>27155.0</v>
      </c>
      <c r="M103" s="14">
        <v>3258.6</v>
      </c>
      <c r="N103" s="14">
        <v>2268.0</v>
      </c>
      <c r="O103" s="14">
        <f t="shared" si="2"/>
        <v>990.6</v>
      </c>
      <c r="P103" s="2" t="s">
        <v>2597</v>
      </c>
    </row>
    <row r="104" ht="22.5" customHeight="1">
      <c r="A104" s="2" t="s">
        <v>602</v>
      </c>
      <c r="B104" s="12">
        <v>46126.0</v>
      </c>
      <c r="C104" s="13" t="str">
        <f t="shared" si="1"/>
        <v>2026-04</v>
      </c>
      <c r="D104" s="12">
        <v>46144.0</v>
      </c>
      <c r="E104" s="12">
        <v>46144.0</v>
      </c>
      <c r="F104" s="2" t="s">
        <v>177</v>
      </c>
      <c r="G104" s="2" t="str">
        <f>VLOOKUP(F104,Tabela_1[#ALL],2,0)</f>
        <v>EntregaCerta ME</v>
      </c>
      <c r="H104" s="2" t="str">
        <f>VLOOKUP(F104,Tabela_1[#ALL],3,0)</f>
        <v>ecommerce</v>
      </c>
      <c r="I104" s="2" t="s">
        <v>91</v>
      </c>
      <c r="J104" s="2">
        <v>3.0</v>
      </c>
      <c r="K104" s="14">
        <v>6245.4</v>
      </c>
      <c r="L104" s="14">
        <v>4907.1</v>
      </c>
      <c r="M104" s="14">
        <v>1338.3</v>
      </c>
      <c r="N104" s="14">
        <v>4072.0</v>
      </c>
      <c r="O104" s="14">
        <f t="shared" si="2"/>
        <v>-2733.7</v>
      </c>
      <c r="P104" s="2" t="s">
        <v>2597</v>
      </c>
    </row>
    <row r="105" ht="22.5" customHeight="1">
      <c r="A105" s="2" t="s">
        <v>607</v>
      </c>
      <c r="B105" s="12">
        <v>46126.0</v>
      </c>
      <c r="C105" s="13" t="str">
        <f t="shared" si="1"/>
        <v>2026-04</v>
      </c>
      <c r="D105" s="12">
        <v>46157.0</v>
      </c>
      <c r="E105" s="12">
        <v>46163.0</v>
      </c>
      <c r="F105" s="2" t="s">
        <v>179</v>
      </c>
      <c r="G105" s="2" t="str">
        <f>VLOOKUP(F105,Tabela_1[#ALL],2,0)</f>
        <v>Mercosul Comércio EPP (Joinville)</v>
      </c>
      <c r="H105" s="2" t="str">
        <f>VLOOKUP(F105,Tabela_1[#ALL],3,0)</f>
        <v>distribuidor</v>
      </c>
      <c r="I105" s="2" t="s">
        <v>39</v>
      </c>
      <c r="J105" s="2">
        <v>2.0</v>
      </c>
      <c r="K105" s="14">
        <v>15706.0</v>
      </c>
      <c r="L105" s="14">
        <v>12518.8</v>
      </c>
      <c r="M105" s="14">
        <v>3187.2</v>
      </c>
      <c r="N105" s="14">
        <v>3445.0</v>
      </c>
      <c r="O105" s="14">
        <f t="shared" si="2"/>
        <v>-257.8</v>
      </c>
      <c r="P105" s="2" t="s">
        <v>2599</v>
      </c>
    </row>
    <row r="106" ht="22.5" customHeight="1">
      <c r="A106" s="2" t="s">
        <v>609</v>
      </c>
      <c r="B106" s="12">
        <v>46127.0</v>
      </c>
      <c r="C106" s="13" t="str">
        <f t="shared" si="1"/>
        <v>2026-04</v>
      </c>
      <c r="D106" s="12">
        <v>46148.0</v>
      </c>
      <c r="E106" s="12">
        <v>46154.0</v>
      </c>
      <c r="F106" s="2" t="s">
        <v>35</v>
      </c>
      <c r="G106" s="2" t="str">
        <f>VLOOKUP(F106,Tabela_1[#ALL],2,0)</f>
        <v>CoopVale</v>
      </c>
      <c r="H106" s="2" t="str">
        <f>VLOOKUP(F106,Tabela_1[#ALL],3,0)</f>
        <v>alimenticio</v>
      </c>
      <c r="I106" s="2" t="s">
        <v>39</v>
      </c>
      <c r="J106" s="2">
        <v>1.0</v>
      </c>
      <c r="K106" s="14">
        <v>50685.6</v>
      </c>
      <c r="L106" s="14">
        <v>41031.2</v>
      </c>
      <c r="M106" s="14">
        <v>9654.4</v>
      </c>
      <c r="N106" s="14">
        <v>404.0</v>
      </c>
      <c r="O106" s="14">
        <f t="shared" si="2"/>
        <v>9250.4</v>
      </c>
      <c r="P106" s="2" t="s">
        <v>2599</v>
      </c>
    </row>
    <row r="107" ht="22.5" customHeight="1">
      <c r="A107" s="2" t="s">
        <v>612</v>
      </c>
      <c r="B107" s="12">
        <v>46127.0</v>
      </c>
      <c r="C107" s="13" t="str">
        <f t="shared" si="1"/>
        <v>2026-04</v>
      </c>
      <c r="D107" s="12">
        <v>46161.0</v>
      </c>
      <c r="E107" s="12">
        <v>46160.0</v>
      </c>
      <c r="F107" s="2" t="s">
        <v>57</v>
      </c>
      <c r="G107" s="2" t="str">
        <f>VLOOKUP(F107,Tabela_1[#ALL],2,0)</f>
        <v>Distribuidora Oeste</v>
      </c>
      <c r="H107" s="2" t="str">
        <f>VLOOKUP(F107,Tabela_1[#ALL],3,0)</f>
        <v>distribuidor</v>
      </c>
      <c r="I107" s="2" t="s">
        <v>39</v>
      </c>
      <c r="J107" s="2">
        <v>3.0</v>
      </c>
      <c r="K107" s="14">
        <v>30982.0</v>
      </c>
      <c r="L107" s="14">
        <v>25941.2</v>
      </c>
      <c r="M107" s="14">
        <v>5040.8</v>
      </c>
      <c r="N107" s="14">
        <v>212.0</v>
      </c>
      <c r="O107" s="14">
        <f t="shared" si="2"/>
        <v>4828.8</v>
      </c>
      <c r="P107" s="2" t="s">
        <v>2597</v>
      </c>
    </row>
    <row r="108" ht="22.5" customHeight="1">
      <c r="A108" s="2" t="s">
        <v>616</v>
      </c>
      <c r="B108" s="12">
        <v>46127.0</v>
      </c>
      <c r="C108" s="13" t="str">
        <f t="shared" si="1"/>
        <v>2026-04</v>
      </c>
      <c r="D108" s="12">
        <v>46153.0</v>
      </c>
      <c r="E108" s="12">
        <v>46152.0</v>
      </c>
      <c r="F108" s="2" t="s">
        <v>64</v>
      </c>
      <c r="G108" s="2" t="str">
        <f>VLOOKUP(F108,Tabela_1[#ALL],2,0)</f>
        <v>Aromatic</v>
      </c>
      <c r="H108" s="2" t="str">
        <f>VLOOKUP(F108,Tabela_1[#ALL],3,0)</f>
        <v>cosmetico</v>
      </c>
      <c r="I108" s="2" t="s">
        <v>56</v>
      </c>
      <c r="J108" s="2">
        <v>2.0</v>
      </c>
      <c r="K108" s="14">
        <v>40712.7</v>
      </c>
      <c r="L108" s="14">
        <v>31116.0</v>
      </c>
      <c r="M108" s="14">
        <v>9596.7</v>
      </c>
      <c r="N108" s="14">
        <v>8033.0</v>
      </c>
      <c r="O108" s="14">
        <f t="shared" si="2"/>
        <v>1563.7</v>
      </c>
      <c r="P108" s="2" t="s">
        <v>2597</v>
      </c>
    </row>
    <row r="109" ht="22.5" customHeight="1">
      <c r="A109" s="2" t="s">
        <v>621</v>
      </c>
      <c r="B109" s="12">
        <v>46127.0</v>
      </c>
      <c r="C109" s="13" t="str">
        <f t="shared" si="1"/>
        <v>2026-04</v>
      </c>
      <c r="D109" s="12">
        <v>46148.0</v>
      </c>
      <c r="E109" s="12">
        <v>46148.0</v>
      </c>
      <c r="F109" s="2" t="s">
        <v>147</v>
      </c>
      <c r="G109" s="2" t="str">
        <f>VLOOKUP(F109,Tabela_1[#ALL],2,0)</f>
        <v>Vivê Beauty ME</v>
      </c>
      <c r="H109" s="2" t="str">
        <f>VLOOKUP(F109,Tabela_1[#ALL],3,0)</f>
        <v>cosmetico</v>
      </c>
      <c r="I109" s="2" t="s">
        <v>91</v>
      </c>
      <c r="J109" s="2">
        <v>2.0</v>
      </c>
      <c r="K109" s="14">
        <v>3243.5</v>
      </c>
      <c r="L109" s="14">
        <v>2544.9</v>
      </c>
      <c r="M109" s="14">
        <v>698.6</v>
      </c>
      <c r="N109" s="14">
        <v>87.0</v>
      </c>
      <c r="O109" s="14">
        <f t="shared" si="2"/>
        <v>611.6</v>
      </c>
      <c r="P109" s="2" t="s">
        <v>2597</v>
      </c>
    </row>
    <row r="110" ht="22.5" customHeight="1">
      <c r="A110" s="2" t="s">
        <v>625</v>
      </c>
      <c r="B110" s="12">
        <v>46127.0</v>
      </c>
      <c r="C110" s="13" t="str">
        <f t="shared" si="1"/>
        <v>2026-04</v>
      </c>
      <c r="D110" s="12">
        <v>46160.0</v>
      </c>
      <c r="E110" s="12">
        <v>46166.0</v>
      </c>
      <c r="F110" s="2" t="s">
        <v>211</v>
      </c>
      <c r="G110" s="2" t="str">
        <f>VLOOKUP(F110,Tabela_1[#ALL],2,0)</f>
        <v>PackExpress S.A.</v>
      </c>
      <c r="H110" s="2" t="str">
        <f>VLOOKUP(F110,Tabela_1[#ALL],3,0)</f>
        <v>ecommerce</v>
      </c>
      <c r="I110" s="2" t="s">
        <v>91</v>
      </c>
      <c r="J110" s="2">
        <v>1.0</v>
      </c>
      <c r="K110" s="14">
        <v>7741.5</v>
      </c>
      <c r="L110" s="14">
        <v>6074.1</v>
      </c>
      <c r="M110" s="14">
        <v>1667.4</v>
      </c>
      <c r="N110" s="14">
        <v>980.0</v>
      </c>
      <c r="O110" s="14">
        <f t="shared" si="2"/>
        <v>687.4</v>
      </c>
      <c r="P110" s="2" t="s">
        <v>2597</v>
      </c>
    </row>
    <row r="111" ht="22.5" customHeight="1">
      <c r="A111" s="2" t="s">
        <v>627</v>
      </c>
      <c r="B111" s="12">
        <v>46127.0</v>
      </c>
      <c r="C111" s="13" t="str">
        <f t="shared" si="1"/>
        <v>2026-04</v>
      </c>
      <c r="D111" s="12">
        <v>46160.0</v>
      </c>
      <c r="E111" s="12">
        <v>46160.0</v>
      </c>
      <c r="F111" s="2" t="s">
        <v>231</v>
      </c>
      <c r="G111" s="2" t="str">
        <f>VLOOKUP(F111,Tabela_1[#ALL],2,0)</f>
        <v>Indústria Caraíbas ME</v>
      </c>
      <c r="H111" s="2" t="str">
        <f>VLOOKUP(F111,Tabela_1[#ALL],3,0)</f>
        <v>alimenticio</v>
      </c>
      <c r="I111" s="2" t="s">
        <v>39</v>
      </c>
      <c r="J111" s="2">
        <v>2.0</v>
      </c>
      <c r="K111" s="14">
        <v>28756.6</v>
      </c>
      <c r="L111" s="14">
        <v>22924.1</v>
      </c>
      <c r="M111" s="14">
        <v>5832.5</v>
      </c>
      <c r="N111" s="14">
        <v>264.0</v>
      </c>
      <c r="O111" s="14">
        <f t="shared" si="2"/>
        <v>5568.5</v>
      </c>
      <c r="P111" s="2" t="s">
        <v>2597</v>
      </c>
    </row>
    <row r="112" ht="22.5" customHeight="1">
      <c r="A112" s="2" t="s">
        <v>631</v>
      </c>
      <c r="B112" s="12">
        <v>46128.0</v>
      </c>
      <c r="C112" s="13" t="str">
        <f t="shared" si="1"/>
        <v>2026-04</v>
      </c>
      <c r="D112" s="12">
        <v>46144.0</v>
      </c>
      <c r="F112" s="2" t="s">
        <v>106</v>
      </c>
      <c r="G112" s="2" t="str">
        <f>VLOOKUP(F112,Tabela_1[#ALL],2,0)</f>
        <v>DistribuPlus</v>
      </c>
      <c r="H112" s="2" t="str">
        <f>VLOOKUP(F112,Tabela_1[#ALL],3,0)</f>
        <v>distribuidor</v>
      </c>
      <c r="I112" s="2" t="s">
        <v>22</v>
      </c>
      <c r="J112" s="2">
        <v>3.0</v>
      </c>
      <c r="K112" s="14">
        <v>6566.9</v>
      </c>
      <c r="L112" s="14">
        <v>5626.2</v>
      </c>
      <c r="M112" s="14">
        <v>940.7</v>
      </c>
      <c r="N112" s="14">
        <v>3095.0</v>
      </c>
      <c r="O112" s="14">
        <f t="shared" si="2"/>
        <v>-2154.3</v>
      </c>
      <c r="P112" s="2" t="s">
        <v>2598</v>
      </c>
    </row>
    <row r="113" ht="22.5" customHeight="1">
      <c r="A113" s="2" t="s">
        <v>636</v>
      </c>
      <c r="B113" s="12">
        <v>46128.0</v>
      </c>
      <c r="C113" s="13" t="str">
        <f t="shared" si="1"/>
        <v>2026-04</v>
      </c>
      <c r="D113" s="12">
        <v>46161.0</v>
      </c>
      <c r="E113" s="12">
        <v>46174.0</v>
      </c>
      <c r="F113" s="2" t="s">
        <v>113</v>
      </c>
      <c r="G113" s="2" t="str">
        <f>VLOOKUP(F113,Tabela_1[#ALL],2,0)</f>
        <v>Sabor Forte Alimentos</v>
      </c>
      <c r="H113" s="2" t="str">
        <f>VLOOKUP(F113,Tabela_1[#ALL],3,0)</f>
        <v>alimenticio</v>
      </c>
      <c r="I113" s="2" t="s">
        <v>39</v>
      </c>
      <c r="J113" s="2">
        <v>1.0</v>
      </c>
      <c r="K113" s="14">
        <v>14435.4</v>
      </c>
      <c r="L113" s="14">
        <v>11685.8</v>
      </c>
      <c r="M113" s="14">
        <v>2749.6</v>
      </c>
      <c r="N113" s="14">
        <v>2318.0</v>
      </c>
      <c r="O113" s="14">
        <f t="shared" si="2"/>
        <v>431.6</v>
      </c>
      <c r="P113" s="2" t="s">
        <v>2599</v>
      </c>
    </row>
    <row r="114" ht="22.5" customHeight="1">
      <c r="A114" s="2" t="s">
        <v>639</v>
      </c>
      <c r="B114" s="12">
        <v>46128.0</v>
      </c>
      <c r="C114" s="13" t="str">
        <f t="shared" si="1"/>
        <v>2026-04</v>
      </c>
      <c r="D114" s="12">
        <v>46154.0</v>
      </c>
      <c r="E114" s="12">
        <v>46152.0</v>
      </c>
      <c r="F114" s="2" t="s">
        <v>134</v>
      </c>
      <c r="G114" s="2" t="str">
        <f>VLOOKUP(F114,Tabela_1[#ALL],2,0)</f>
        <v>Nutrigrão Cooperativa</v>
      </c>
      <c r="H114" s="2" t="str">
        <f>VLOOKUP(F114,Tabela_1[#ALL],3,0)</f>
        <v>alimenticio</v>
      </c>
      <c r="I114" s="2" t="s">
        <v>91</v>
      </c>
      <c r="J114" s="2">
        <v>1.0</v>
      </c>
      <c r="K114" s="14">
        <v>11393.2</v>
      </c>
      <c r="L114" s="14">
        <v>10172.5</v>
      </c>
      <c r="M114" s="14">
        <v>1220.7</v>
      </c>
      <c r="N114" s="14">
        <v>8043.0</v>
      </c>
      <c r="O114" s="14">
        <f t="shared" si="2"/>
        <v>-6822.3</v>
      </c>
      <c r="P114" s="2" t="s">
        <v>2597</v>
      </c>
    </row>
    <row r="115" ht="22.5" customHeight="1">
      <c r="A115" s="2" t="s">
        <v>643</v>
      </c>
      <c r="B115" s="12">
        <v>46128.0</v>
      </c>
      <c r="C115" s="13" t="str">
        <f t="shared" si="1"/>
        <v>2026-04</v>
      </c>
      <c r="D115" s="12">
        <v>46162.0</v>
      </c>
      <c r="E115" s="12">
        <v>46161.0</v>
      </c>
      <c r="F115" s="2" t="s">
        <v>239</v>
      </c>
      <c r="G115" s="2" t="str">
        <f>VLOOKUP(F115,Tabela_1[#ALL],2,0)</f>
        <v>FreteFix Comércio</v>
      </c>
      <c r="H115" s="2" t="str">
        <f>VLOOKUP(F115,Tabela_1[#ALL],3,0)</f>
        <v>logistica</v>
      </c>
      <c r="I115" s="2" t="s">
        <v>56</v>
      </c>
      <c r="J115" s="2">
        <v>2.0</v>
      </c>
      <c r="K115" s="14">
        <v>10068.8</v>
      </c>
      <c r="L115" s="14">
        <v>8990.0</v>
      </c>
      <c r="M115" s="14">
        <v>1078.8</v>
      </c>
      <c r="N115" s="14">
        <v>2941.0</v>
      </c>
      <c r="O115" s="14">
        <f t="shared" si="2"/>
        <v>-1862.2</v>
      </c>
      <c r="P115" s="2" t="s">
        <v>2597</v>
      </c>
    </row>
    <row r="116" ht="22.5" customHeight="1">
      <c r="A116" s="2" t="s">
        <v>645</v>
      </c>
      <c r="B116" s="12">
        <v>46128.0</v>
      </c>
      <c r="C116" s="13" t="str">
        <f t="shared" si="1"/>
        <v>2026-04</v>
      </c>
      <c r="D116" s="12">
        <v>46156.0</v>
      </c>
      <c r="E116" s="12">
        <v>46155.0</v>
      </c>
      <c r="F116" s="2" t="s">
        <v>249</v>
      </c>
      <c r="G116" s="2" t="str">
        <f>VLOOKUP(F116,Tabela_1[#ALL],2,0)</f>
        <v>Distrib. Litoral Sul EPP</v>
      </c>
      <c r="H116" s="2" t="str">
        <f>VLOOKUP(F116,Tabela_1[#ALL],3,0)</f>
        <v>distribuidor</v>
      </c>
      <c r="I116" s="2" t="s">
        <v>91</v>
      </c>
      <c r="J116" s="2">
        <v>3.0</v>
      </c>
      <c r="K116" s="14">
        <v>31712.8</v>
      </c>
      <c r="L116" s="14">
        <v>26553.1</v>
      </c>
      <c r="M116" s="14">
        <v>5159.7</v>
      </c>
      <c r="N116" s="14">
        <v>2142.0</v>
      </c>
      <c r="O116" s="14">
        <f t="shared" si="2"/>
        <v>3017.7</v>
      </c>
      <c r="P116" s="2" t="s">
        <v>2597</v>
      </c>
    </row>
    <row r="117" ht="22.5" customHeight="1">
      <c r="A117" s="2" t="s">
        <v>648</v>
      </c>
      <c r="B117" s="12">
        <v>46129.0</v>
      </c>
      <c r="C117" s="13" t="str">
        <f t="shared" si="1"/>
        <v>2026-04</v>
      </c>
      <c r="D117" s="12">
        <v>46160.0</v>
      </c>
      <c r="E117" s="12">
        <v>46161.0</v>
      </c>
      <c r="F117" s="2" t="s">
        <v>40</v>
      </c>
      <c r="G117" s="2" t="str">
        <f>VLOOKUP(F117,Tabela_1[#ALL],2,0)</f>
        <v>Farmavida</v>
      </c>
      <c r="H117" s="2" t="str">
        <f>VLOOKUP(F117,Tabela_1[#ALL],3,0)</f>
        <v>farmaceutico</v>
      </c>
      <c r="I117" s="2" t="s">
        <v>43</v>
      </c>
      <c r="J117" s="2">
        <v>2.0</v>
      </c>
      <c r="K117" s="14">
        <v>120804.6</v>
      </c>
      <c r="L117" s="14">
        <v>94917.9</v>
      </c>
      <c r="M117" s="14">
        <v>25886.7</v>
      </c>
      <c r="N117" s="14">
        <v>7651.0</v>
      </c>
      <c r="O117" s="14">
        <f t="shared" si="2"/>
        <v>18235.7</v>
      </c>
      <c r="P117" s="2" t="s">
        <v>2597</v>
      </c>
    </row>
    <row r="118" ht="22.5" customHeight="1">
      <c r="A118" s="2" t="s">
        <v>655</v>
      </c>
      <c r="B118" s="12">
        <v>46129.0</v>
      </c>
      <c r="C118" s="13" t="str">
        <f t="shared" si="1"/>
        <v>2026-04</v>
      </c>
      <c r="D118" s="12">
        <v>46147.0</v>
      </c>
      <c r="E118" s="12">
        <v>46145.0</v>
      </c>
      <c r="F118" s="2" t="s">
        <v>119</v>
      </c>
      <c r="G118" s="2" t="str">
        <f>VLOOKUP(F118,Tabela_1[#ALL],2,0)</f>
        <v>Coopercana ME</v>
      </c>
      <c r="H118" s="2" t="str">
        <f>VLOOKUP(F118,Tabela_1[#ALL],3,0)</f>
        <v>alimenticio</v>
      </c>
      <c r="I118" s="2" t="s">
        <v>56</v>
      </c>
      <c r="J118" s="2">
        <v>3.0</v>
      </c>
      <c r="K118" s="14">
        <v>2461.2</v>
      </c>
      <c r="L118" s="14">
        <v>1992.4</v>
      </c>
      <c r="M118" s="14">
        <v>468.8</v>
      </c>
      <c r="N118" s="14">
        <v>3837.0</v>
      </c>
      <c r="O118" s="14">
        <f t="shared" si="2"/>
        <v>-3368.2</v>
      </c>
      <c r="P118" s="2" t="s">
        <v>2597</v>
      </c>
    </row>
    <row r="119" ht="22.5" customHeight="1">
      <c r="A119" s="2" t="s">
        <v>659</v>
      </c>
      <c r="B119" s="12">
        <v>46129.0</v>
      </c>
      <c r="C119" s="13" t="str">
        <f t="shared" si="1"/>
        <v>2026-04</v>
      </c>
      <c r="D119" s="12">
        <v>46152.0</v>
      </c>
      <c r="E119" s="12">
        <v>46154.0</v>
      </c>
      <c r="F119" s="2" t="s">
        <v>128</v>
      </c>
      <c r="G119" s="2" t="str">
        <f>VLOOKUP(F119,Tabela_1[#ALL],2,0)</f>
        <v>EnviaTudo Cooperativa</v>
      </c>
      <c r="H119" s="2" t="str">
        <f>VLOOKUP(F119,Tabela_1[#ALL],3,0)</f>
        <v>ecommerce</v>
      </c>
      <c r="I119" s="2" t="s">
        <v>56</v>
      </c>
      <c r="J119" s="2">
        <v>3.0</v>
      </c>
      <c r="K119" s="14">
        <v>3326.8</v>
      </c>
      <c r="L119" s="14">
        <v>2665.6</v>
      </c>
      <c r="M119" s="14">
        <v>661.2</v>
      </c>
      <c r="N119" s="14">
        <v>5264.0</v>
      </c>
      <c r="O119" s="14">
        <f t="shared" si="2"/>
        <v>-4602.8</v>
      </c>
      <c r="P119" s="2" t="s">
        <v>2597</v>
      </c>
    </row>
    <row r="120" ht="22.5" customHeight="1">
      <c r="A120" s="2" t="s">
        <v>663</v>
      </c>
      <c r="B120" s="12">
        <v>46129.0</v>
      </c>
      <c r="C120" s="13" t="str">
        <f t="shared" si="1"/>
        <v>2026-04</v>
      </c>
      <c r="D120" s="12">
        <v>46157.0</v>
      </c>
      <c r="E120" s="12">
        <v>46154.0</v>
      </c>
      <c r="F120" s="2" t="s">
        <v>157</v>
      </c>
      <c r="G120" s="2" t="str">
        <f>VLOOKUP(F120,Tabela_1[#ALL],2,0)</f>
        <v>Mercosul Comércio EPP</v>
      </c>
      <c r="H120" s="2" t="str">
        <f>VLOOKUP(F120,Tabela_1[#ALL],3,0)</f>
        <v>distribuidor</v>
      </c>
      <c r="I120" s="2" t="s">
        <v>49</v>
      </c>
      <c r="J120" s="2">
        <v>1.0</v>
      </c>
      <c r="K120" s="14">
        <v>18146.8</v>
      </c>
      <c r="L120" s="14">
        <v>16202.5</v>
      </c>
      <c r="M120" s="14">
        <v>1944.3</v>
      </c>
      <c r="N120" s="14">
        <v>1610.0</v>
      </c>
      <c r="O120" s="14">
        <f t="shared" si="2"/>
        <v>334.3</v>
      </c>
      <c r="P120" s="2" t="s">
        <v>2597</v>
      </c>
    </row>
    <row r="121" ht="22.5" customHeight="1">
      <c r="A121" s="2" t="s">
        <v>666</v>
      </c>
      <c r="B121" s="12">
        <v>46129.0</v>
      </c>
      <c r="C121" s="13" t="str">
        <f t="shared" si="1"/>
        <v>2026-04</v>
      </c>
      <c r="D121" s="12">
        <v>46146.0</v>
      </c>
      <c r="E121" s="12">
        <v>46145.0</v>
      </c>
      <c r="F121" s="2" t="s">
        <v>165</v>
      </c>
      <c r="G121" s="2" t="str">
        <f>VLOOKUP(F121,Tabela_1[#ALL],2,0)</f>
        <v>Laticínios Boa Vista Comércio</v>
      </c>
      <c r="H121" s="2" t="str">
        <f>VLOOKUP(F121,Tabela_1[#ALL],3,0)</f>
        <v>alimenticio</v>
      </c>
      <c r="I121" s="2" t="s">
        <v>39</v>
      </c>
      <c r="J121" s="2">
        <v>2.0</v>
      </c>
      <c r="K121" s="14">
        <v>24017.5</v>
      </c>
      <c r="L121" s="14">
        <v>18844.5</v>
      </c>
      <c r="M121" s="14">
        <v>5173.0</v>
      </c>
      <c r="N121" s="14">
        <v>1517.0</v>
      </c>
      <c r="O121" s="14">
        <f t="shared" si="2"/>
        <v>3656</v>
      </c>
      <c r="P121" s="2" t="s">
        <v>2597</v>
      </c>
    </row>
    <row r="122" ht="22.5" customHeight="1">
      <c r="A122" s="2" t="s">
        <v>668</v>
      </c>
      <c r="B122" s="12">
        <v>46129.0</v>
      </c>
      <c r="C122" s="13" t="str">
        <f t="shared" si="1"/>
        <v>2026-04</v>
      </c>
      <c r="D122" s="12">
        <v>46163.0</v>
      </c>
      <c r="E122" s="12">
        <v>46163.0</v>
      </c>
      <c r="F122" s="2" t="s">
        <v>185</v>
      </c>
      <c r="G122" s="2" t="str">
        <f>VLOOKUP(F122,Tabela_1[#ALL],2,0)</f>
        <v>Floratta Cosméticos S.A.</v>
      </c>
      <c r="H122" s="2" t="str">
        <f>VLOOKUP(F122,Tabela_1[#ALL],3,0)</f>
        <v>cosmetico</v>
      </c>
      <c r="I122" s="2" t="s">
        <v>22</v>
      </c>
      <c r="J122" s="2">
        <v>2.0</v>
      </c>
      <c r="K122" s="14">
        <v>7408.8</v>
      </c>
      <c r="L122" s="14">
        <v>6306.3</v>
      </c>
      <c r="M122" s="14">
        <v>1102.5</v>
      </c>
      <c r="N122" s="14">
        <v>2943.0</v>
      </c>
      <c r="O122" s="14">
        <f t="shared" si="2"/>
        <v>-1840.5</v>
      </c>
      <c r="P122" s="2" t="s">
        <v>2597</v>
      </c>
    </row>
    <row r="123" ht="22.5" customHeight="1">
      <c r="A123" s="2" t="s">
        <v>671</v>
      </c>
      <c r="B123" s="12">
        <v>46129.0</v>
      </c>
      <c r="C123" s="13" t="str">
        <f t="shared" si="1"/>
        <v>2026-04</v>
      </c>
      <c r="D123" s="12">
        <v>46144.0</v>
      </c>
      <c r="E123" s="12">
        <v>46141.0</v>
      </c>
      <c r="F123" s="2" t="s">
        <v>187</v>
      </c>
      <c r="G123" s="2" t="str">
        <f>VLOOKUP(F123,Tabela_1[#ALL],2,0)</f>
        <v>Granoma Alimentos EPP</v>
      </c>
      <c r="H123" s="2" t="str">
        <f>VLOOKUP(F123,Tabela_1[#ALL],3,0)</f>
        <v>alimenticio</v>
      </c>
      <c r="I123" s="2" t="s">
        <v>22</v>
      </c>
      <c r="J123" s="2">
        <v>2.0</v>
      </c>
      <c r="K123" s="14">
        <v>8049.9</v>
      </c>
      <c r="L123" s="14">
        <v>6751.9</v>
      </c>
      <c r="M123" s="14">
        <v>1298.0</v>
      </c>
      <c r="N123" s="14">
        <v>1627.0</v>
      </c>
      <c r="O123" s="14">
        <f t="shared" si="2"/>
        <v>-329</v>
      </c>
      <c r="P123" s="2" t="s">
        <v>2597</v>
      </c>
    </row>
    <row r="124" ht="22.5" customHeight="1">
      <c r="A124" s="2" t="s">
        <v>674</v>
      </c>
      <c r="B124" s="12">
        <v>46129.0</v>
      </c>
      <c r="C124" s="13" t="str">
        <f t="shared" si="1"/>
        <v>2026-04</v>
      </c>
      <c r="D124" s="12">
        <v>46159.0</v>
      </c>
      <c r="E124" s="12">
        <v>46157.0</v>
      </c>
      <c r="F124" s="2" t="s">
        <v>187</v>
      </c>
      <c r="G124" s="2" t="str">
        <f>VLOOKUP(F124,Tabela_1[#ALL],2,0)</f>
        <v>Granoma Alimentos EPP</v>
      </c>
      <c r="H124" s="2" t="str">
        <f>VLOOKUP(F124,Tabela_1[#ALL],3,0)</f>
        <v>alimenticio</v>
      </c>
      <c r="I124" s="2" t="s">
        <v>22</v>
      </c>
      <c r="J124" s="2">
        <v>2.0</v>
      </c>
      <c r="K124" s="14">
        <v>10483.2</v>
      </c>
      <c r="L124" s="14">
        <v>8923.2</v>
      </c>
      <c r="M124" s="14">
        <v>1560.0</v>
      </c>
      <c r="N124" s="14">
        <v>2120.0</v>
      </c>
      <c r="O124" s="14">
        <f t="shared" si="2"/>
        <v>-560</v>
      </c>
      <c r="P124" s="2" t="s">
        <v>2597</v>
      </c>
    </row>
    <row r="125" ht="22.5" customHeight="1">
      <c r="A125" s="2" t="s">
        <v>677</v>
      </c>
      <c r="B125" s="12">
        <v>46129.0</v>
      </c>
      <c r="C125" s="13" t="str">
        <f t="shared" si="1"/>
        <v>2026-04</v>
      </c>
      <c r="D125" s="12">
        <v>46154.0</v>
      </c>
      <c r="E125" s="12">
        <v>46156.0</v>
      </c>
      <c r="F125" s="2" t="s">
        <v>215</v>
      </c>
      <c r="G125" s="2" t="str">
        <f>VLOOKUP(F125,Tabela_1[#ALL],2,0)</f>
        <v>Lumen Beauty EPP</v>
      </c>
      <c r="H125" s="2" t="str">
        <f>VLOOKUP(F125,Tabela_1[#ALL],3,0)</f>
        <v>cosmetico</v>
      </c>
      <c r="I125" s="2" t="s">
        <v>22</v>
      </c>
      <c r="J125" s="2">
        <v>3.0</v>
      </c>
      <c r="K125" s="14">
        <v>65566.2</v>
      </c>
      <c r="L125" s="14">
        <v>54898.8</v>
      </c>
      <c r="M125" s="14">
        <v>10667.4</v>
      </c>
      <c r="N125" s="14">
        <v>2294.0</v>
      </c>
      <c r="O125" s="14">
        <f t="shared" si="2"/>
        <v>8373.4</v>
      </c>
      <c r="P125" s="2" t="s">
        <v>2597</v>
      </c>
    </row>
    <row r="126" ht="22.5" customHeight="1">
      <c r="A126" s="2" t="s">
        <v>682</v>
      </c>
      <c r="B126" s="12">
        <v>46129.0</v>
      </c>
      <c r="C126" s="13" t="str">
        <f t="shared" si="1"/>
        <v>2026-04</v>
      </c>
      <c r="D126" s="12">
        <v>46155.0</v>
      </c>
      <c r="E126" s="12">
        <v>46155.0</v>
      </c>
      <c r="F126" s="2" t="s">
        <v>235</v>
      </c>
      <c r="G126" s="2" t="str">
        <f>VLOOKUP(F126,Tabela_1[#ALL],2,0)</f>
        <v>Saúde Total Labs Comércio</v>
      </c>
      <c r="H126" s="2" t="str">
        <f>VLOOKUP(F126,Tabela_1[#ALL],3,0)</f>
        <v>farmaceutico</v>
      </c>
      <c r="I126" s="2" t="s">
        <v>39</v>
      </c>
      <c r="J126" s="2">
        <v>1.0</v>
      </c>
      <c r="K126" s="14">
        <v>14076.0</v>
      </c>
      <c r="L126" s="14">
        <v>11799.0</v>
      </c>
      <c r="M126" s="14">
        <v>2277.0</v>
      </c>
      <c r="N126" s="14">
        <v>127.0</v>
      </c>
      <c r="O126" s="14">
        <f t="shared" si="2"/>
        <v>2150</v>
      </c>
      <c r="P126" s="2" t="s">
        <v>2597</v>
      </c>
    </row>
    <row r="127" ht="22.5" customHeight="1">
      <c r="A127" s="2" t="s">
        <v>683</v>
      </c>
      <c r="B127" s="12">
        <v>46130.0</v>
      </c>
      <c r="C127" s="13" t="str">
        <f t="shared" si="1"/>
        <v>2026-04</v>
      </c>
      <c r="D127" s="12">
        <v>46151.0</v>
      </c>
      <c r="F127" s="2" t="s">
        <v>10</v>
      </c>
      <c r="G127" s="2" t="str">
        <f>VLOOKUP(F127,Tabela_1[#ALL],2,0)</f>
        <v>AgroMar</v>
      </c>
      <c r="H127" s="2" t="str">
        <f>VLOOKUP(F127,Tabela_1[#ALL],3,0)</f>
        <v>alimenticio</v>
      </c>
      <c r="I127" s="2" t="s">
        <v>16</v>
      </c>
      <c r="J127" s="2">
        <v>2.0</v>
      </c>
      <c r="K127" s="14">
        <v>230503.8</v>
      </c>
      <c r="L127" s="14">
        <v>176905.2</v>
      </c>
      <c r="M127" s="14">
        <v>53598.6</v>
      </c>
      <c r="N127" s="14">
        <v>12350.0</v>
      </c>
      <c r="O127" s="14">
        <f t="shared" si="2"/>
        <v>41248.6</v>
      </c>
      <c r="P127" s="2" t="s">
        <v>2600</v>
      </c>
    </row>
    <row r="128" ht="22.5" customHeight="1">
      <c r="A128" s="2" t="s">
        <v>687</v>
      </c>
      <c r="B128" s="12">
        <v>46130.0</v>
      </c>
      <c r="C128" s="13" t="str">
        <f t="shared" si="1"/>
        <v>2026-04</v>
      </c>
      <c r="D128" s="12">
        <v>46159.0</v>
      </c>
      <c r="E128" s="12">
        <v>46159.0</v>
      </c>
      <c r="F128" s="2" t="s">
        <v>61</v>
      </c>
      <c r="G128" s="2" t="str">
        <f>VLOOKUP(F128,Tabela_1[#ALL],2,0)</f>
        <v>Mercosul Atacado</v>
      </c>
      <c r="H128" s="2" t="str">
        <f>VLOOKUP(F128,Tabela_1[#ALL],3,0)</f>
        <v>distribuidor</v>
      </c>
      <c r="I128" s="2" t="s">
        <v>39</v>
      </c>
      <c r="J128" s="2">
        <v>1.0</v>
      </c>
      <c r="K128" s="14">
        <v>14789.6</v>
      </c>
      <c r="L128" s="14">
        <v>13205.0</v>
      </c>
      <c r="M128" s="14">
        <v>1584.6</v>
      </c>
      <c r="N128" s="14">
        <v>2901.0</v>
      </c>
      <c r="O128" s="14">
        <f t="shared" si="2"/>
        <v>-1316.4</v>
      </c>
      <c r="P128" s="2" t="s">
        <v>2597</v>
      </c>
    </row>
    <row r="129" ht="22.5" customHeight="1">
      <c r="A129" s="2" t="s">
        <v>690</v>
      </c>
      <c r="B129" s="12">
        <v>46130.0</v>
      </c>
      <c r="C129" s="13" t="str">
        <f t="shared" si="1"/>
        <v>2026-04</v>
      </c>
      <c r="D129" s="12">
        <v>46163.0</v>
      </c>
      <c r="E129" s="12">
        <v>46162.0</v>
      </c>
      <c r="F129" s="2" t="s">
        <v>111</v>
      </c>
      <c r="G129" s="2" t="str">
        <f>VLOOKUP(F129,Tabela_1[#ALL],2,0)</f>
        <v>Salutar Farma Comércio</v>
      </c>
      <c r="H129" s="2" t="str">
        <f>VLOOKUP(F129,Tabela_1[#ALL],3,0)</f>
        <v>farmaceutico</v>
      </c>
      <c r="I129" s="2" t="s">
        <v>43</v>
      </c>
      <c r="J129" s="2">
        <v>1.0</v>
      </c>
      <c r="K129" s="14">
        <v>3969.0</v>
      </c>
      <c r="L129" s="14">
        <v>3118.5</v>
      </c>
      <c r="M129" s="14">
        <v>850.5</v>
      </c>
      <c r="N129" s="14">
        <v>3263.0</v>
      </c>
      <c r="O129" s="14">
        <f t="shared" si="2"/>
        <v>-2412.5</v>
      </c>
      <c r="P129" s="2" t="s">
        <v>2597</v>
      </c>
    </row>
    <row r="130" ht="22.5" customHeight="1">
      <c r="A130" s="2" t="s">
        <v>692</v>
      </c>
      <c r="B130" s="12">
        <v>46130.0</v>
      </c>
      <c r="C130" s="13" t="str">
        <f t="shared" si="1"/>
        <v>2026-04</v>
      </c>
      <c r="D130" s="12">
        <v>46149.0</v>
      </c>
      <c r="F130" s="2" t="s">
        <v>121</v>
      </c>
      <c r="G130" s="2" t="str">
        <f>VLOOKUP(F130,Tabela_1[#ALL],2,0)</f>
        <v>Distrib. Tropical Ltda</v>
      </c>
      <c r="H130" s="2" t="str">
        <f>VLOOKUP(F130,Tabela_1[#ALL],3,0)</f>
        <v>distribuidor</v>
      </c>
      <c r="I130" s="2" t="s">
        <v>91</v>
      </c>
      <c r="J130" s="2">
        <v>3.0</v>
      </c>
      <c r="K130" s="14">
        <v>9904.4</v>
      </c>
      <c r="L130" s="14">
        <v>7935.6</v>
      </c>
      <c r="M130" s="14">
        <v>1968.8</v>
      </c>
      <c r="N130" s="14">
        <v>6090.0</v>
      </c>
      <c r="O130" s="14">
        <f t="shared" si="2"/>
        <v>-4121.2</v>
      </c>
      <c r="P130" s="2" t="s">
        <v>2600</v>
      </c>
    </row>
    <row r="131" ht="22.5" customHeight="1">
      <c r="A131" s="2" t="s">
        <v>695</v>
      </c>
      <c r="B131" s="12">
        <v>46130.0</v>
      </c>
      <c r="C131" s="13" t="str">
        <f t="shared" si="1"/>
        <v>2026-04</v>
      </c>
      <c r="D131" s="12">
        <v>46145.0</v>
      </c>
      <c r="E131" s="12">
        <v>46146.0</v>
      </c>
      <c r="F131" s="2" t="s">
        <v>163</v>
      </c>
      <c r="G131" s="2" t="str">
        <f>VLOOKUP(F131,Tabela_1[#ALL],2,0)</f>
        <v>RotaFácil S.A.</v>
      </c>
      <c r="H131" s="2" t="str">
        <f>VLOOKUP(F131,Tabela_1[#ALL],3,0)</f>
        <v>ecommerce</v>
      </c>
      <c r="I131" s="2" t="s">
        <v>39</v>
      </c>
      <c r="J131" s="2">
        <v>3.0</v>
      </c>
      <c r="K131" s="14">
        <v>7432.5</v>
      </c>
      <c r="L131" s="14">
        <v>6161.6</v>
      </c>
      <c r="M131" s="14">
        <v>1270.9</v>
      </c>
      <c r="N131" s="14">
        <v>1236.0</v>
      </c>
      <c r="O131" s="14">
        <f t="shared" si="2"/>
        <v>34.9</v>
      </c>
      <c r="P131" s="2" t="s">
        <v>2597</v>
      </c>
    </row>
    <row r="132" ht="22.5" customHeight="1">
      <c r="A132" s="2" t="s">
        <v>698</v>
      </c>
      <c r="B132" s="12">
        <v>46130.0</v>
      </c>
      <c r="C132" s="13" t="str">
        <f t="shared" si="1"/>
        <v>2026-04</v>
      </c>
      <c r="D132" s="12">
        <v>46164.0</v>
      </c>
      <c r="E132" s="12">
        <v>46163.0</v>
      </c>
      <c r="F132" s="2" t="s">
        <v>165</v>
      </c>
      <c r="G132" s="2" t="str">
        <f>VLOOKUP(F132,Tabela_1[#ALL],2,0)</f>
        <v>Laticínios Boa Vista Comércio</v>
      </c>
      <c r="H132" s="2" t="str">
        <f>VLOOKUP(F132,Tabela_1[#ALL],3,0)</f>
        <v>alimenticio</v>
      </c>
      <c r="I132" s="2" t="s">
        <v>39</v>
      </c>
      <c r="J132" s="2">
        <v>3.0</v>
      </c>
      <c r="K132" s="14">
        <v>14183.9</v>
      </c>
      <c r="L132" s="14">
        <v>11364.5</v>
      </c>
      <c r="M132" s="14">
        <v>2819.4</v>
      </c>
      <c r="N132" s="14">
        <v>1344.0</v>
      </c>
      <c r="O132" s="14">
        <f t="shared" si="2"/>
        <v>1475.4</v>
      </c>
      <c r="P132" s="2" t="s">
        <v>2597</v>
      </c>
    </row>
    <row r="133" ht="22.5" customHeight="1">
      <c r="A133" s="2" t="s">
        <v>701</v>
      </c>
      <c r="B133" s="12">
        <v>46130.0</v>
      </c>
      <c r="C133" s="13" t="str">
        <f t="shared" si="1"/>
        <v>2026-04</v>
      </c>
      <c r="D133" s="12">
        <v>46145.0</v>
      </c>
      <c r="E133" s="12">
        <v>46146.0</v>
      </c>
      <c r="F133" s="2" t="s">
        <v>179</v>
      </c>
      <c r="G133" s="2" t="str">
        <f>VLOOKUP(F133,Tabela_1[#ALL],2,0)</f>
        <v>Mercosul Comércio EPP (Joinville)</v>
      </c>
      <c r="H133" s="2" t="str">
        <f>VLOOKUP(F133,Tabela_1[#ALL],3,0)</f>
        <v>distribuidor</v>
      </c>
      <c r="I133" s="2" t="s">
        <v>39</v>
      </c>
      <c r="J133" s="2">
        <v>2.0</v>
      </c>
      <c r="K133" s="14">
        <v>22521.8</v>
      </c>
      <c r="L133" s="14">
        <v>19170.4</v>
      </c>
      <c r="M133" s="14">
        <v>3351.4</v>
      </c>
      <c r="N133" s="14">
        <v>4822.0</v>
      </c>
      <c r="O133" s="14">
        <f t="shared" si="2"/>
        <v>-1470.6</v>
      </c>
      <c r="P133" s="2" t="s">
        <v>2597</v>
      </c>
    </row>
    <row r="134" ht="22.5" customHeight="1">
      <c r="A134" s="2" t="s">
        <v>705</v>
      </c>
      <c r="B134" s="12">
        <v>46130.0</v>
      </c>
      <c r="C134" s="13" t="str">
        <f t="shared" si="1"/>
        <v>2026-04</v>
      </c>
      <c r="D134" s="12">
        <v>46162.0</v>
      </c>
      <c r="E134" s="12">
        <v>46163.0</v>
      </c>
      <c r="F134" s="2" t="s">
        <v>203</v>
      </c>
      <c r="G134" s="2" t="str">
        <f>VLOOKUP(F134,Tabela_1[#ALL],2,0)</f>
        <v>BeautyLab S.A.</v>
      </c>
      <c r="H134" s="2" t="str">
        <f>VLOOKUP(F134,Tabela_1[#ALL],3,0)</f>
        <v>cosmetico</v>
      </c>
      <c r="I134" s="2" t="s">
        <v>22</v>
      </c>
      <c r="J134" s="2">
        <v>1.0</v>
      </c>
      <c r="K134" s="14">
        <v>4960.6</v>
      </c>
      <c r="L134" s="14">
        <v>4158.15</v>
      </c>
      <c r="M134" s="14">
        <v>802.45</v>
      </c>
      <c r="N134" s="14">
        <v>4082.0</v>
      </c>
      <c r="O134" s="14">
        <f t="shared" si="2"/>
        <v>-3279.55</v>
      </c>
      <c r="P134" s="2" t="s">
        <v>2597</v>
      </c>
    </row>
    <row r="135" ht="22.5" customHeight="1">
      <c r="A135" s="2" t="s">
        <v>708</v>
      </c>
      <c r="B135" s="12">
        <v>46130.0</v>
      </c>
      <c r="C135" s="13" t="str">
        <f t="shared" si="1"/>
        <v>2026-04</v>
      </c>
      <c r="D135" s="12">
        <v>46154.0</v>
      </c>
      <c r="E135" s="12">
        <v>46152.0</v>
      </c>
      <c r="F135" s="2" t="s">
        <v>255</v>
      </c>
      <c r="G135" s="2" t="str">
        <f>VLOOKUP(F135,Tabela_1[#ALL],2,0)</f>
        <v>Lumen Beauty EPP (Apucarana)</v>
      </c>
      <c r="H135" s="2" t="str">
        <f>VLOOKUP(F135,Tabela_1[#ALL],3,0)</f>
        <v>cosmetico</v>
      </c>
      <c r="I135" s="2" t="s">
        <v>39</v>
      </c>
      <c r="J135" s="2">
        <v>1.0</v>
      </c>
      <c r="K135" s="14">
        <v>11495.4</v>
      </c>
      <c r="L135" s="14">
        <v>9032.1</v>
      </c>
      <c r="M135" s="14">
        <v>2463.3</v>
      </c>
      <c r="N135" s="14">
        <v>3209.0</v>
      </c>
      <c r="O135" s="14">
        <f t="shared" si="2"/>
        <v>-745.7</v>
      </c>
      <c r="P135" s="2" t="s">
        <v>2597</v>
      </c>
    </row>
    <row r="136" ht="22.5" customHeight="1">
      <c r="A136" s="2" t="s">
        <v>710</v>
      </c>
      <c r="B136" s="12">
        <v>46131.0</v>
      </c>
      <c r="C136" s="13" t="str">
        <f t="shared" si="1"/>
        <v>2026-04</v>
      </c>
      <c r="D136" s="12">
        <v>46147.0</v>
      </c>
      <c r="E136" s="12">
        <v>46152.0</v>
      </c>
      <c r="F136" s="2" t="s">
        <v>19</v>
      </c>
      <c r="G136" s="2" t="str">
        <f>VLOOKUP(F136,Tabela_1[#ALL],2,0)</f>
        <v>NorteAgro</v>
      </c>
      <c r="H136" s="2" t="str">
        <f>VLOOKUP(F136,Tabela_1[#ALL],3,0)</f>
        <v>alimenticio</v>
      </c>
      <c r="I136" s="2" t="s">
        <v>22</v>
      </c>
      <c r="J136" s="2">
        <v>1.0</v>
      </c>
      <c r="K136" s="14">
        <v>319004.6</v>
      </c>
      <c r="L136" s="14">
        <v>241198.6</v>
      </c>
      <c r="M136" s="14">
        <v>77806.0</v>
      </c>
      <c r="N136" s="14">
        <v>6264.0</v>
      </c>
      <c r="O136" s="14">
        <f t="shared" si="2"/>
        <v>71542</v>
      </c>
      <c r="P136" s="2" t="s">
        <v>2599</v>
      </c>
    </row>
    <row r="137" ht="22.5" customHeight="1">
      <c r="A137" s="2" t="s">
        <v>713</v>
      </c>
      <c r="B137" s="12">
        <v>46131.0</v>
      </c>
      <c r="C137" s="13" t="str">
        <f t="shared" si="1"/>
        <v>2026-04</v>
      </c>
      <c r="D137" s="12">
        <v>46162.0</v>
      </c>
      <c r="E137" s="12">
        <v>46163.0</v>
      </c>
      <c r="F137" s="2" t="s">
        <v>74</v>
      </c>
      <c r="G137" s="2" t="str">
        <f>VLOOKUP(F137,Tabela_1[#ALL],2,0)</f>
        <v>EnvioFácil</v>
      </c>
      <c r="H137" s="2" t="str">
        <f>VLOOKUP(F137,Tabela_1[#ALL],3,0)</f>
        <v>ecommerce</v>
      </c>
      <c r="I137" s="2" t="s">
        <v>56</v>
      </c>
      <c r="J137" s="2">
        <v>1.0</v>
      </c>
      <c r="K137" s="14">
        <v>5843.6</v>
      </c>
      <c r="L137" s="14">
        <v>5217.5</v>
      </c>
      <c r="M137" s="14">
        <v>626.1</v>
      </c>
      <c r="N137" s="14">
        <v>1274.0</v>
      </c>
      <c r="O137" s="14">
        <f t="shared" si="2"/>
        <v>-647.9</v>
      </c>
      <c r="P137" s="2" t="s">
        <v>2597</v>
      </c>
    </row>
    <row r="138" ht="22.5" customHeight="1">
      <c r="A138" s="2" t="s">
        <v>715</v>
      </c>
      <c r="B138" s="12">
        <v>46131.0</v>
      </c>
      <c r="C138" s="13" t="str">
        <f t="shared" si="1"/>
        <v>2026-04</v>
      </c>
      <c r="D138" s="12">
        <v>46161.0</v>
      </c>
      <c r="F138" s="2" t="s">
        <v>106</v>
      </c>
      <c r="G138" s="2" t="str">
        <f>VLOOKUP(F138,Tabela_1[#ALL],2,0)</f>
        <v>DistribuPlus</v>
      </c>
      <c r="H138" s="2" t="str">
        <f>VLOOKUP(F138,Tabela_1[#ALL],3,0)</f>
        <v>distribuidor</v>
      </c>
      <c r="I138" s="2" t="s">
        <v>22</v>
      </c>
      <c r="J138" s="2">
        <v>2.0</v>
      </c>
      <c r="K138" s="14">
        <v>13671.4</v>
      </c>
      <c r="L138" s="14">
        <v>10897.0</v>
      </c>
      <c r="M138" s="14">
        <v>2774.4</v>
      </c>
      <c r="N138" s="14">
        <v>2771.0</v>
      </c>
      <c r="O138" s="14">
        <f t="shared" si="2"/>
        <v>3.4</v>
      </c>
      <c r="P138" s="2" t="s">
        <v>2598</v>
      </c>
    </row>
    <row r="139" ht="22.5" customHeight="1">
      <c r="A139" s="2" t="s">
        <v>718</v>
      </c>
      <c r="B139" s="12">
        <v>46132.0</v>
      </c>
      <c r="C139" s="13" t="str">
        <f t="shared" si="1"/>
        <v>2026-04</v>
      </c>
      <c r="D139" s="12">
        <v>46155.0</v>
      </c>
      <c r="E139" s="12">
        <v>46157.0</v>
      </c>
      <c r="F139" s="2" t="s">
        <v>28</v>
      </c>
      <c r="G139" s="2" t="str">
        <f>VLOOKUP(F139,Tabela_1[#ALL],2,0)</f>
        <v>CoopFrigo</v>
      </c>
      <c r="H139" s="2" t="str">
        <f>VLOOKUP(F139,Tabela_1[#ALL],3,0)</f>
        <v>alimenticio</v>
      </c>
      <c r="I139" s="2" t="s">
        <v>16</v>
      </c>
      <c r="J139" s="2">
        <v>1.0</v>
      </c>
      <c r="K139" s="14">
        <v>126919.0</v>
      </c>
      <c r="L139" s="14">
        <v>99582.6</v>
      </c>
      <c r="M139" s="14">
        <v>27336.4</v>
      </c>
      <c r="N139" s="14">
        <v>1470.0</v>
      </c>
      <c r="O139" s="14">
        <f t="shared" si="2"/>
        <v>25866.4</v>
      </c>
      <c r="P139" s="2" t="s">
        <v>2597</v>
      </c>
    </row>
    <row r="140" ht="22.5" customHeight="1">
      <c r="A140" s="2" t="s">
        <v>721</v>
      </c>
      <c r="B140" s="12">
        <v>46132.0</v>
      </c>
      <c r="C140" s="13" t="str">
        <f t="shared" si="1"/>
        <v>2026-04</v>
      </c>
      <c r="D140" s="12">
        <v>46159.0</v>
      </c>
      <c r="E140" s="12">
        <v>46157.0</v>
      </c>
      <c r="F140" s="2" t="s">
        <v>126</v>
      </c>
      <c r="G140" s="2" t="str">
        <f>VLOOKUP(F140,Tabela_1[#ALL],2,0)</f>
        <v>Biolatina Indústria Cooperativa</v>
      </c>
      <c r="H140" s="2" t="str">
        <f>VLOOKUP(F140,Tabela_1[#ALL],3,0)</f>
        <v>farmaceutico</v>
      </c>
      <c r="I140" s="2" t="s">
        <v>43</v>
      </c>
      <c r="J140" s="2">
        <v>3.0</v>
      </c>
      <c r="K140" s="14">
        <v>16150.2</v>
      </c>
      <c r="L140" s="14">
        <v>12497.1</v>
      </c>
      <c r="M140" s="14">
        <v>3653.1</v>
      </c>
      <c r="N140" s="14">
        <v>8035.0</v>
      </c>
      <c r="O140" s="14">
        <f t="shared" si="2"/>
        <v>-4381.9</v>
      </c>
      <c r="P140" s="2" t="s">
        <v>2597</v>
      </c>
    </row>
    <row r="141" ht="22.5" customHeight="1">
      <c r="A141" s="2" t="s">
        <v>725</v>
      </c>
      <c r="B141" s="12">
        <v>46132.0</v>
      </c>
      <c r="C141" s="13" t="str">
        <f t="shared" si="1"/>
        <v>2026-04</v>
      </c>
      <c r="D141" s="12">
        <v>46147.0</v>
      </c>
      <c r="E141" s="12">
        <v>46146.0</v>
      </c>
      <c r="F141" s="2" t="s">
        <v>161</v>
      </c>
      <c r="G141" s="2" t="str">
        <f>VLOOKUP(F141,Tabela_1[#ALL],2,0)</f>
        <v>Distrib. Litoral Sul Ltda</v>
      </c>
      <c r="H141" s="2" t="str">
        <f>VLOOKUP(F141,Tabela_1[#ALL],3,0)</f>
        <v>distribuidor</v>
      </c>
      <c r="I141" s="2" t="s">
        <v>56</v>
      </c>
      <c r="J141" s="2">
        <v>1.0</v>
      </c>
      <c r="K141" s="14">
        <v>8223.6</v>
      </c>
      <c r="L141" s="14">
        <v>6461.4</v>
      </c>
      <c r="M141" s="14">
        <v>1762.2</v>
      </c>
      <c r="N141" s="14">
        <v>1174.0</v>
      </c>
      <c r="O141" s="14">
        <f t="shared" si="2"/>
        <v>588.2</v>
      </c>
      <c r="P141" s="2" t="s">
        <v>2597</v>
      </c>
    </row>
    <row r="142" ht="22.5" customHeight="1">
      <c r="A142" s="2" t="s">
        <v>727</v>
      </c>
      <c r="B142" s="12">
        <v>46132.0</v>
      </c>
      <c r="C142" s="13" t="str">
        <f t="shared" si="1"/>
        <v>2026-04</v>
      </c>
      <c r="D142" s="12">
        <v>46158.0</v>
      </c>
      <c r="E142" s="12">
        <v>46159.0</v>
      </c>
      <c r="F142" s="2" t="s">
        <v>177</v>
      </c>
      <c r="G142" s="2" t="str">
        <f>VLOOKUP(F142,Tabela_1[#ALL],2,0)</f>
        <v>EntregaCerta ME</v>
      </c>
      <c r="H142" s="2" t="str">
        <f>VLOOKUP(F142,Tabela_1[#ALL],3,0)</f>
        <v>ecommerce</v>
      </c>
      <c r="I142" s="2" t="s">
        <v>91</v>
      </c>
      <c r="J142" s="2">
        <v>1.0</v>
      </c>
      <c r="K142" s="14">
        <v>26678.4</v>
      </c>
      <c r="L142" s="14">
        <v>20961.6</v>
      </c>
      <c r="M142" s="14">
        <v>5716.8</v>
      </c>
      <c r="N142" s="14">
        <v>2908.0</v>
      </c>
      <c r="O142" s="14">
        <f t="shared" si="2"/>
        <v>2808.8</v>
      </c>
      <c r="P142" s="2" t="s">
        <v>2597</v>
      </c>
    </row>
    <row r="143" ht="22.5" customHeight="1">
      <c r="A143" s="2" t="s">
        <v>730</v>
      </c>
      <c r="B143" s="12">
        <v>46132.0</v>
      </c>
      <c r="C143" s="13" t="str">
        <f t="shared" si="1"/>
        <v>2026-04</v>
      </c>
      <c r="D143" s="12">
        <v>46158.0</v>
      </c>
      <c r="E143" s="12">
        <v>46159.0</v>
      </c>
      <c r="F143" s="2" t="s">
        <v>213</v>
      </c>
      <c r="G143" s="2" t="str">
        <f>VLOOKUP(F143,Tabela_1[#ALL],2,0)</f>
        <v>Doce Vale ME</v>
      </c>
      <c r="H143" s="2" t="str">
        <f>VLOOKUP(F143,Tabela_1[#ALL],3,0)</f>
        <v>alimenticio</v>
      </c>
      <c r="I143" s="2" t="s">
        <v>39</v>
      </c>
      <c r="J143" s="2">
        <v>3.0</v>
      </c>
      <c r="K143" s="14">
        <v>5051.9</v>
      </c>
      <c r="L143" s="14">
        <v>4047.7</v>
      </c>
      <c r="M143" s="14">
        <v>1004.2</v>
      </c>
      <c r="N143" s="14">
        <v>2392.0</v>
      </c>
      <c r="O143" s="14">
        <f t="shared" si="2"/>
        <v>-1387.8</v>
      </c>
      <c r="P143" s="2" t="s">
        <v>2597</v>
      </c>
    </row>
    <row r="144" ht="22.5" customHeight="1">
      <c r="A144" s="2" t="s">
        <v>737</v>
      </c>
      <c r="B144" s="12">
        <v>46132.0</v>
      </c>
      <c r="C144" s="13" t="str">
        <f t="shared" si="1"/>
        <v>2026-04</v>
      </c>
      <c r="D144" s="12">
        <v>46162.0</v>
      </c>
      <c r="E144" s="12">
        <v>46163.0</v>
      </c>
      <c r="F144" s="2" t="s">
        <v>233</v>
      </c>
      <c r="G144" s="2" t="str">
        <f>VLOOKUP(F144,Tabela_1[#ALL],2,0)</f>
        <v>Doce Vale Comércio</v>
      </c>
      <c r="H144" s="2" t="str">
        <f>VLOOKUP(F144,Tabela_1[#ALL],3,0)</f>
        <v>alimenticio</v>
      </c>
      <c r="I144" s="2" t="s">
        <v>49</v>
      </c>
      <c r="J144" s="2">
        <v>3.0</v>
      </c>
      <c r="K144" s="14">
        <v>2926.6</v>
      </c>
      <c r="L144" s="14">
        <v>2426.3</v>
      </c>
      <c r="M144" s="14">
        <v>500.3</v>
      </c>
      <c r="N144" s="14">
        <v>1650.0</v>
      </c>
      <c r="O144" s="14">
        <f t="shared" si="2"/>
        <v>-1149.7</v>
      </c>
      <c r="P144" s="2" t="s">
        <v>2597</v>
      </c>
    </row>
    <row r="145" ht="22.5" customHeight="1">
      <c r="A145" s="2" t="s">
        <v>744</v>
      </c>
      <c r="B145" s="12">
        <v>46133.0</v>
      </c>
      <c r="C145" s="13" t="str">
        <f t="shared" si="1"/>
        <v>2026-04</v>
      </c>
      <c r="D145" s="12">
        <v>46159.0</v>
      </c>
      <c r="E145" s="12">
        <v>46159.0</v>
      </c>
      <c r="F145" s="2" t="s">
        <v>31</v>
      </c>
      <c r="G145" s="2" t="str">
        <f>VLOOKUP(F145,Tabela_1[#ALL],2,0)</f>
        <v>Distribuidora Sul PR</v>
      </c>
      <c r="H145" s="2" t="str">
        <f>VLOOKUP(F145,Tabela_1[#ALL],3,0)</f>
        <v>distribuidor</v>
      </c>
      <c r="I145" s="2" t="s">
        <v>16</v>
      </c>
      <c r="J145" s="2">
        <v>2.0</v>
      </c>
      <c r="K145" s="14">
        <v>97492.9</v>
      </c>
      <c r="L145" s="14">
        <v>77708.7</v>
      </c>
      <c r="M145" s="14">
        <v>19784.2</v>
      </c>
      <c r="N145" s="14">
        <v>10415.0</v>
      </c>
      <c r="O145" s="14">
        <f t="shared" si="2"/>
        <v>9369.2</v>
      </c>
      <c r="P145" s="2" t="s">
        <v>2597</v>
      </c>
    </row>
    <row r="146" ht="22.5" customHeight="1">
      <c r="A146" s="2" t="s">
        <v>750</v>
      </c>
      <c r="B146" s="12">
        <v>46133.0</v>
      </c>
      <c r="C146" s="13" t="str">
        <f t="shared" si="1"/>
        <v>2026-04</v>
      </c>
      <c r="D146" s="12">
        <v>46150.0</v>
      </c>
      <c r="E146" s="12">
        <v>46148.0</v>
      </c>
      <c r="F146" s="2" t="s">
        <v>69</v>
      </c>
      <c r="G146" s="2" t="str">
        <f>VLOOKUP(F146,Tabela_1[#ALL],2,0)</f>
        <v>Naturalle</v>
      </c>
      <c r="H146" s="2" t="str">
        <f>VLOOKUP(F146,Tabela_1[#ALL],3,0)</f>
        <v>cosmetico</v>
      </c>
      <c r="I146" s="2" t="s">
        <v>39</v>
      </c>
      <c r="J146" s="2">
        <v>3.0</v>
      </c>
      <c r="K146" s="14">
        <v>21130.4</v>
      </c>
      <c r="L146" s="14">
        <v>17294.1</v>
      </c>
      <c r="M146" s="14">
        <v>3836.3</v>
      </c>
      <c r="N146" s="14">
        <v>282.0</v>
      </c>
      <c r="O146" s="14">
        <f t="shared" si="2"/>
        <v>3554.3</v>
      </c>
      <c r="P146" s="2" t="s">
        <v>2597</v>
      </c>
    </row>
    <row r="147" ht="22.5" customHeight="1">
      <c r="A147" s="2" t="s">
        <v>753</v>
      </c>
      <c r="B147" s="12">
        <v>46133.0</v>
      </c>
      <c r="C147" s="13" t="str">
        <f t="shared" si="1"/>
        <v>2026-04</v>
      </c>
      <c r="D147" s="12">
        <v>46165.0</v>
      </c>
      <c r="E147" s="12">
        <v>46166.0</v>
      </c>
      <c r="F147" s="2" t="s">
        <v>163</v>
      </c>
      <c r="G147" s="2" t="str">
        <f>VLOOKUP(F147,Tabela_1[#ALL],2,0)</f>
        <v>RotaFácil S.A.</v>
      </c>
      <c r="H147" s="2" t="str">
        <f>VLOOKUP(F147,Tabela_1[#ALL],3,0)</f>
        <v>ecommerce</v>
      </c>
      <c r="I147" s="2" t="s">
        <v>39</v>
      </c>
      <c r="J147" s="2">
        <v>3.0</v>
      </c>
      <c r="K147" s="14">
        <v>4428.2</v>
      </c>
      <c r="L147" s="14">
        <v>3707.7</v>
      </c>
      <c r="M147" s="14">
        <v>720.5</v>
      </c>
      <c r="N147" s="14">
        <v>1901.0</v>
      </c>
      <c r="O147" s="14">
        <f t="shared" si="2"/>
        <v>-1180.5</v>
      </c>
      <c r="P147" s="2" t="s">
        <v>2597</v>
      </c>
    </row>
    <row r="148" ht="22.5" customHeight="1">
      <c r="A148" s="2" t="s">
        <v>763</v>
      </c>
      <c r="B148" s="12">
        <v>46133.0</v>
      </c>
      <c r="C148" s="13" t="str">
        <f t="shared" si="1"/>
        <v>2026-04</v>
      </c>
      <c r="D148" s="12">
        <v>46159.0</v>
      </c>
      <c r="E148" s="12">
        <v>46156.0</v>
      </c>
      <c r="F148" s="2" t="s">
        <v>251</v>
      </c>
      <c r="G148" s="2" t="str">
        <f>VLOOKUP(F148,Tabela_1[#ALL],2,0)</f>
        <v>Saúde Total Labs S.A.</v>
      </c>
      <c r="H148" s="2" t="str">
        <f>VLOOKUP(F148,Tabela_1[#ALL],3,0)</f>
        <v>farmaceutico</v>
      </c>
      <c r="I148" s="2" t="s">
        <v>49</v>
      </c>
      <c r="J148" s="2">
        <v>3.0</v>
      </c>
      <c r="K148" s="14">
        <v>26397.6</v>
      </c>
      <c r="L148" s="14">
        <v>21883.4</v>
      </c>
      <c r="M148" s="14">
        <v>4514.2</v>
      </c>
      <c r="N148" s="14">
        <v>1076.0</v>
      </c>
      <c r="O148" s="14">
        <f t="shared" si="2"/>
        <v>3438.2</v>
      </c>
      <c r="P148" s="2" t="s">
        <v>2597</v>
      </c>
    </row>
    <row r="149" ht="22.5" customHeight="1">
      <c r="A149" s="2" t="s">
        <v>766</v>
      </c>
      <c r="B149" s="12">
        <v>46134.0</v>
      </c>
      <c r="C149" s="13" t="str">
        <f t="shared" si="1"/>
        <v>2026-04</v>
      </c>
      <c r="D149" s="12">
        <v>46152.0</v>
      </c>
      <c r="F149" s="2" t="s">
        <v>66</v>
      </c>
      <c r="G149" s="2" t="str">
        <f>VLOOKUP(F149,Tabela_1[#ALL],2,0)</f>
        <v>Vale Norte Atacarejo</v>
      </c>
      <c r="H149" s="2" t="str">
        <f>VLOOKUP(F149,Tabela_1[#ALL],3,0)</f>
        <v>varejo</v>
      </c>
      <c r="I149" s="2" t="s">
        <v>22</v>
      </c>
      <c r="J149" s="2">
        <v>1.0</v>
      </c>
      <c r="K149" s="14">
        <v>28501.2</v>
      </c>
      <c r="L149" s="14">
        <v>23072.4</v>
      </c>
      <c r="M149" s="14">
        <v>5428.8</v>
      </c>
      <c r="N149" s="14">
        <v>2289.0</v>
      </c>
      <c r="O149" s="14">
        <f t="shared" si="2"/>
        <v>3139.8</v>
      </c>
      <c r="P149" s="2" t="s">
        <v>2600</v>
      </c>
    </row>
    <row r="150" ht="22.5" customHeight="1">
      <c r="A150" s="2" t="s">
        <v>769</v>
      </c>
      <c r="B150" s="12">
        <v>46134.0</v>
      </c>
      <c r="C150" s="13" t="str">
        <f t="shared" si="1"/>
        <v>2026-04</v>
      </c>
      <c r="D150" s="12">
        <v>46166.0</v>
      </c>
      <c r="F150" s="2" t="s">
        <v>74</v>
      </c>
      <c r="G150" s="2" t="str">
        <f>VLOOKUP(F150,Tabela_1[#ALL],2,0)</f>
        <v>EnvioFácil</v>
      </c>
      <c r="H150" s="2" t="str">
        <f>VLOOKUP(F150,Tabela_1[#ALL],3,0)</f>
        <v>ecommerce</v>
      </c>
      <c r="I150" s="2" t="s">
        <v>56</v>
      </c>
      <c r="J150" s="2">
        <v>2.0</v>
      </c>
      <c r="K150" s="14">
        <v>2853.2</v>
      </c>
      <c r="L150" s="14">
        <v>2547.5</v>
      </c>
      <c r="M150" s="14">
        <v>305.7</v>
      </c>
      <c r="N150" s="14">
        <v>1690.0</v>
      </c>
      <c r="O150" s="14">
        <f t="shared" si="2"/>
        <v>-1384.3</v>
      </c>
      <c r="P150" s="2" t="s">
        <v>2600</v>
      </c>
    </row>
    <row r="151" ht="22.5" customHeight="1">
      <c r="A151" s="2" t="s">
        <v>773</v>
      </c>
      <c r="B151" s="12">
        <v>46134.0</v>
      </c>
      <c r="C151" s="13" t="str">
        <f t="shared" si="1"/>
        <v>2026-04</v>
      </c>
      <c r="D151" s="12">
        <v>46169.0</v>
      </c>
      <c r="E151" s="12">
        <v>46167.0</v>
      </c>
      <c r="F151" s="2" t="s">
        <v>88</v>
      </c>
      <c r="G151" s="2" t="str">
        <f>VLOOKUP(F151,Tabela_1[#ALL],2,0)</f>
        <v>Atacadão Centro Oeste</v>
      </c>
      <c r="H151" s="2" t="str">
        <f>VLOOKUP(F151,Tabela_1[#ALL],3,0)</f>
        <v>distribuidor</v>
      </c>
      <c r="I151" s="2" t="s">
        <v>91</v>
      </c>
      <c r="J151" s="2">
        <v>3.0</v>
      </c>
      <c r="K151" s="14">
        <v>16843.4</v>
      </c>
      <c r="L151" s="14">
        <v>14570.8</v>
      </c>
      <c r="M151" s="14">
        <v>2272.6</v>
      </c>
      <c r="N151" s="14">
        <v>429.0</v>
      </c>
      <c r="O151" s="14">
        <f t="shared" si="2"/>
        <v>1843.6</v>
      </c>
      <c r="P151" s="2" t="s">
        <v>2597</v>
      </c>
    </row>
    <row r="152" ht="22.5" customHeight="1">
      <c r="A152" s="2" t="s">
        <v>776</v>
      </c>
      <c r="B152" s="12">
        <v>46134.0</v>
      </c>
      <c r="C152" s="13" t="str">
        <f t="shared" si="1"/>
        <v>2026-04</v>
      </c>
      <c r="D152" s="12">
        <v>46169.0</v>
      </c>
      <c r="E152" s="12">
        <v>46168.0</v>
      </c>
      <c r="F152" s="2" t="s">
        <v>111</v>
      </c>
      <c r="G152" s="2" t="str">
        <f>VLOOKUP(F152,Tabela_1[#ALL],2,0)</f>
        <v>Salutar Farma Comércio</v>
      </c>
      <c r="H152" s="2" t="str">
        <f>VLOOKUP(F152,Tabela_1[#ALL],3,0)</f>
        <v>farmaceutico</v>
      </c>
      <c r="I152" s="2" t="s">
        <v>43</v>
      </c>
      <c r="J152" s="2">
        <v>1.0</v>
      </c>
      <c r="K152" s="14">
        <v>9520.0</v>
      </c>
      <c r="L152" s="14">
        <v>7140.0</v>
      </c>
      <c r="M152" s="14">
        <v>2380.0</v>
      </c>
      <c r="N152" s="14">
        <v>3206.0</v>
      </c>
      <c r="O152" s="14">
        <f t="shared" si="2"/>
        <v>-826</v>
      </c>
      <c r="P152" s="2" t="s">
        <v>2597</v>
      </c>
    </row>
    <row r="153" ht="22.5" customHeight="1">
      <c r="A153" s="2" t="s">
        <v>777</v>
      </c>
      <c r="B153" s="12">
        <v>46134.0</v>
      </c>
      <c r="C153" s="13" t="str">
        <f t="shared" si="1"/>
        <v>2026-04</v>
      </c>
      <c r="D153" s="12">
        <v>46153.0</v>
      </c>
      <c r="F153" s="2" t="s">
        <v>143</v>
      </c>
      <c r="G153" s="2" t="str">
        <f>VLOOKUP(F153,Tabela_1[#ALL],2,0)</f>
        <v>Rede Vita ME</v>
      </c>
      <c r="H153" s="2" t="str">
        <f>VLOOKUP(F153,Tabela_1[#ALL],3,0)</f>
        <v>varejo</v>
      </c>
      <c r="I153" s="2" t="s">
        <v>91</v>
      </c>
      <c r="J153" s="2">
        <v>2.0</v>
      </c>
      <c r="K153" s="14">
        <v>1841.4</v>
      </c>
      <c r="L153" s="14">
        <v>1544.2</v>
      </c>
      <c r="M153" s="14">
        <v>297.2</v>
      </c>
      <c r="N153" s="14">
        <v>7095.0</v>
      </c>
      <c r="O153" s="14">
        <f t="shared" si="2"/>
        <v>-6797.8</v>
      </c>
      <c r="P153" s="2" t="s">
        <v>2601</v>
      </c>
    </row>
    <row r="154" ht="22.5" customHeight="1">
      <c r="A154" s="2" t="s">
        <v>782</v>
      </c>
      <c r="B154" s="12">
        <v>46134.0</v>
      </c>
      <c r="C154" s="13" t="str">
        <f t="shared" si="1"/>
        <v>2026-04</v>
      </c>
      <c r="D154" s="12">
        <v>46169.0</v>
      </c>
      <c r="E154" s="12">
        <v>46170.0</v>
      </c>
      <c r="F154" s="2" t="s">
        <v>209</v>
      </c>
      <c r="G154" s="2" t="str">
        <f>VLOOKUP(F154,Tabela_1[#ALL],2,0)</f>
        <v>Ciência da Vida Farma ME</v>
      </c>
      <c r="H154" s="2" t="str">
        <f>VLOOKUP(F154,Tabela_1[#ALL],3,0)</f>
        <v>farmaceutico</v>
      </c>
      <c r="I154" s="2" t="s">
        <v>49</v>
      </c>
      <c r="J154" s="2">
        <v>1.0</v>
      </c>
      <c r="K154" s="14">
        <v>16707.6</v>
      </c>
      <c r="L154" s="14">
        <v>13012.65</v>
      </c>
      <c r="M154" s="14">
        <v>3694.95</v>
      </c>
      <c r="N154" s="14">
        <v>2634.0</v>
      </c>
      <c r="O154" s="14">
        <f t="shared" si="2"/>
        <v>1060.95</v>
      </c>
      <c r="P154" s="2" t="s">
        <v>2597</v>
      </c>
    </row>
    <row r="155" ht="22.5" customHeight="1">
      <c r="A155" s="2" t="s">
        <v>786</v>
      </c>
      <c r="B155" s="12">
        <v>46134.0</v>
      </c>
      <c r="C155" s="13" t="str">
        <f t="shared" si="1"/>
        <v>2026-04</v>
      </c>
      <c r="D155" s="12">
        <v>46151.0</v>
      </c>
      <c r="E155" s="12">
        <v>46149.0</v>
      </c>
      <c r="F155" s="2" t="s">
        <v>219</v>
      </c>
      <c r="G155" s="2" t="str">
        <f>VLOOKUP(F155,Tabela_1[#ALL],2,0)</f>
        <v>Tradição Alimentos Comércio</v>
      </c>
      <c r="H155" s="2" t="str">
        <f>VLOOKUP(F155,Tabela_1[#ALL],3,0)</f>
        <v>alimenticio</v>
      </c>
      <c r="I155" s="2" t="s">
        <v>56</v>
      </c>
      <c r="J155" s="2">
        <v>1.0</v>
      </c>
      <c r="K155" s="14">
        <v>15678.6</v>
      </c>
      <c r="L155" s="14">
        <v>12692.2</v>
      </c>
      <c r="M155" s="14">
        <v>2986.4</v>
      </c>
      <c r="N155" s="14">
        <v>70.0</v>
      </c>
      <c r="O155" s="14">
        <f t="shared" si="2"/>
        <v>2916.4</v>
      </c>
      <c r="P155" s="2" t="s">
        <v>2597</v>
      </c>
    </row>
    <row r="156" ht="22.5" customHeight="1">
      <c r="A156" s="2" t="s">
        <v>789</v>
      </c>
      <c r="B156" s="12">
        <v>46134.0</v>
      </c>
      <c r="C156" s="13" t="str">
        <f t="shared" si="1"/>
        <v>2026-04</v>
      </c>
      <c r="D156" s="12">
        <v>46159.0</v>
      </c>
      <c r="E156" s="12">
        <v>46160.0</v>
      </c>
      <c r="F156" s="2" t="s">
        <v>225</v>
      </c>
      <c r="G156" s="2" t="str">
        <f>VLOOKUP(F156,Tabela_1[#ALL],2,0)</f>
        <v>Laticínios Boa Vista EPP</v>
      </c>
      <c r="H156" s="2" t="str">
        <f>VLOOKUP(F156,Tabela_1[#ALL],3,0)</f>
        <v>alimenticio</v>
      </c>
      <c r="I156" s="2" t="s">
        <v>49</v>
      </c>
      <c r="J156" s="2">
        <v>1.0</v>
      </c>
      <c r="K156" s="14">
        <v>16132.2</v>
      </c>
      <c r="L156" s="14">
        <v>13059.4</v>
      </c>
      <c r="M156" s="14">
        <v>3072.8</v>
      </c>
      <c r="N156" s="14">
        <v>733.0</v>
      </c>
      <c r="O156" s="14">
        <f t="shared" si="2"/>
        <v>2339.8</v>
      </c>
      <c r="P156" s="2" t="s">
        <v>2597</v>
      </c>
    </row>
    <row r="157" ht="22.5" customHeight="1">
      <c r="A157" s="2" t="s">
        <v>792</v>
      </c>
      <c r="B157" s="12">
        <v>46135.0</v>
      </c>
      <c r="C157" s="13" t="str">
        <f t="shared" si="1"/>
        <v>2026-04</v>
      </c>
      <c r="D157" s="12">
        <v>46154.0</v>
      </c>
      <c r="F157" s="2" t="s">
        <v>40</v>
      </c>
      <c r="G157" s="2" t="str">
        <f>VLOOKUP(F157,Tabela_1[#ALL],2,0)</f>
        <v>Farmavida</v>
      </c>
      <c r="H157" s="2" t="str">
        <f>VLOOKUP(F157,Tabela_1[#ALL],3,0)</f>
        <v>farmaceutico</v>
      </c>
      <c r="I157" s="2" t="s">
        <v>43</v>
      </c>
      <c r="J157" s="2">
        <v>1.0</v>
      </c>
      <c r="K157" s="14">
        <v>92901.6</v>
      </c>
      <c r="L157" s="14">
        <v>77873.4</v>
      </c>
      <c r="M157" s="14">
        <v>15028.2</v>
      </c>
      <c r="N157" s="14">
        <v>5931.0</v>
      </c>
      <c r="O157" s="14">
        <f t="shared" si="2"/>
        <v>9097.2</v>
      </c>
      <c r="P157" s="2" t="s">
        <v>2598</v>
      </c>
    </row>
    <row r="158" ht="22.5" customHeight="1">
      <c r="A158" s="2" t="s">
        <v>796</v>
      </c>
      <c r="B158" s="12">
        <v>46135.0</v>
      </c>
      <c r="C158" s="13" t="str">
        <f t="shared" si="1"/>
        <v>2026-04</v>
      </c>
      <c r="D158" s="12">
        <v>46154.0</v>
      </c>
      <c r="E158" s="12">
        <v>46154.0</v>
      </c>
      <c r="F158" s="2" t="s">
        <v>92</v>
      </c>
      <c r="G158" s="2" t="str">
        <f>VLOOKUP(F158,Tabela_1[#ALL],2,0)</f>
        <v>EssenciaPura</v>
      </c>
      <c r="H158" s="2" t="str">
        <f>VLOOKUP(F158,Tabela_1[#ALL],3,0)</f>
        <v>cosmetico</v>
      </c>
      <c r="I158" s="2" t="s">
        <v>39</v>
      </c>
      <c r="J158" s="2">
        <v>1.0</v>
      </c>
      <c r="K158" s="14">
        <v>6900.6</v>
      </c>
      <c r="L158" s="14">
        <v>5421.9</v>
      </c>
      <c r="M158" s="14">
        <v>1478.7</v>
      </c>
      <c r="N158" s="14">
        <v>1921.0</v>
      </c>
      <c r="O158" s="14">
        <f t="shared" si="2"/>
        <v>-442.3</v>
      </c>
      <c r="P158" s="2" t="s">
        <v>2597</v>
      </c>
    </row>
    <row r="159" ht="22.5" customHeight="1">
      <c r="A159" s="2" t="s">
        <v>798</v>
      </c>
      <c r="B159" s="12">
        <v>46135.0</v>
      </c>
      <c r="C159" s="13" t="str">
        <f t="shared" si="1"/>
        <v>2026-04</v>
      </c>
      <c r="D159" s="12">
        <v>46156.0</v>
      </c>
      <c r="E159" s="12">
        <v>46155.0</v>
      </c>
      <c r="F159" s="2" t="s">
        <v>95</v>
      </c>
      <c r="G159" s="2" t="str">
        <f>VLOOKUP(F159,Tabela_1[#ALL],2,0)</f>
        <v>Mercado Vale</v>
      </c>
      <c r="H159" s="2" t="str">
        <f>VLOOKUP(F159,Tabela_1[#ALL],3,0)</f>
        <v>varejo</v>
      </c>
      <c r="I159" s="2" t="s">
        <v>56</v>
      </c>
      <c r="J159" s="2">
        <v>1.0</v>
      </c>
      <c r="K159" s="14">
        <v>7641.2</v>
      </c>
      <c r="L159" s="14">
        <v>6822.5</v>
      </c>
      <c r="M159" s="14">
        <v>818.7</v>
      </c>
      <c r="N159" s="14">
        <v>6369.0</v>
      </c>
      <c r="O159" s="14">
        <f t="shared" si="2"/>
        <v>-5550.3</v>
      </c>
      <c r="P159" s="2" t="s">
        <v>2597</v>
      </c>
    </row>
    <row r="160" ht="22.5" customHeight="1">
      <c r="A160" s="2" t="s">
        <v>800</v>
      </c>
      <c r="B160" s="12">
        <v>46135.0</v>
      </c>
      <c r="C160" s="13" t="str">
        <f t="shared" si="1"/>
        <v>2026-04</v>
      </c>
      <c r="D160" s="12">
        <v>46164.0</v>
      </c>
      <c r="E160" s="12">
        <v>46166.0</v>
      </c>
      <c r="F160" s="2" t="s">
        <v>151</v>
      </c>
      <c r="G160" s="2" t="str">
        <f>VLOOKUP(F160,Tabela_1[#ALL],2,0)</f>
        <v>Varejo Familiar Ltda (Foz do Iguaçu)</v>
      </c>
      <c r="H160" s="2" t="str">
        <f>VLOOKUP(F160,Tabela_1[#ALL],3,0)</f>
        <v>varejo</v>
      </c>
      <c r="I160" s="2" t="s">
        <v>39</v>
      </c>
      <c r="J160" s="2">
        <v>2.0</v>
      </c>
      <c r="K160" s="14">
        <v>6341.0</v>
      </c>
      <c r="L160" s="14">
        <v>5315.25</v>
      </c>
      <c r="M160" s="14">
        <v>1025.75</v>
      </c>
      <c r="N160" s="14">
        <v>428.0</v>
      </c>
      <c r="O160" s="14">
        <f t="shared" si="2"/>
        <v>597.75</v>
      </c>
      <c r="P160" s="2" t="s">
        <v>2597</v>
      </c>
    </row>
    <row r="161" ht="22.5" customHeight="1">
      <c r="A161" s="2" t="s">
        <v>803</v>
      </c>
      <c r="B161" s="12">
        <v>46135.0</v>
      </c>
      <c r="C161" s="13" t="str">
        <f t="shared" si="1"/>
        <v>2026-04</v>
      </c>
      <c r="D161" s="12">
        <v>46158.0</v>
      </c>
      <c r="E161" s="12">
        <v>46163.0</v>
      </c>
      <c r="F161" s="2" t="s">
        <v>159</v>
      </c>
      <c r="G161" s="2" t="str">
        <f>VLOOKUP(F161,Tabela_1[#ALL],2,0)</f>
        <v>Biolatina Indústria EPP</v>
      </c>
      <c r="H161" s="2" t="str">
        <f>VLOOKUP(F161,Tabela_1[#ALL],3,0)</f>
        <v>farmaceutico</v>
      </c>
      <c r="I161" s="2" t="s">
        <v>39</v>
      </c>
      <c r="J161" s="2">
        <v>2.0</v>
      </c>
      <c r="K161" s="14">
        <v>43225.7</v>
      </c>
      <c r="L161" s="14">
        <v>36255.0</v>
      </c>
      <c r="M161" s="14">
        <v>6970.7</v>
      </c>
      <c r="N161" s="14">
        <v>470.0</v>
      </c>
      <c r="O161" s="14">
        <f t="shared" si="2"/>
        <v>6500.7</v>
      </c>
      <c r="P161" s="2" t="s">
        <v>2597</v>
      </c>
    </row>
    <row r="162" ht="22.5" customHeight="1">
      <c r="A162" s="2" t="s">
        <v>808</v>
      </c>
      <c r="B162" s="12">
        <v>46135.0</v>
      </c>
      <c r="C162" s="13" t="str">
        <f t="shared" si="1"/>
        <v>2026-04</v>
      </c>
      <c r="D162" s="12">
        <v>46156.0</v>
      </c>
      <c r="E162" s="12">
        <v>46171.0</v>
      </c>
      <c r="F162" s="2" t="s">
        <v>203</v>
      </c>
      <c r="G162" s="2" t="str">
        <f>VLOOKUP(F162,Tabela_1[#ALL],2,0)</f>
        <v>BeautyLab S.A.</v>
      </c>
      <c r="H162" s="2" t="str">
        <f>VLOOKUP(F162,Tabela_1[#ALL],3,0)</f>
        <v>cosmetico</v>
      </c>
      <c r="I162" s="2" t="s">
        <v>22</v>
      </c>
      <c r="J162" s="2">
        <v>3.0</v>
      </c>
      <c r="K162" s="14">
        <v>29755.2</v>
      </c>
      <c r="L162" s="14">
        <v>23025.0</v>
      </c>
      <c r="M162" s="14">
        <v>6730.2</v>
      </c>
      <c r="N162" s="14">
        <v>4091.0</v>
      </c>
      <c r="O162" s="14">
        <f t="shared" si="2"/>
        <v>2639.2</v>
      </c>
      <c r="P162" s="2" t="s">
        <v>2599</v>
      </c>
    </row>
    <row r="163" ht="22.5" customHeight="1">
      <c r="A163" s="2" t="s">
        <v>809</v>
      </c>
      <c r="B163" s="12">
        <v>46135.0</v>
      </c>
      <c r="C163" s="13" t="str">
        <f t="shared" si="1"/>
        <v>2026-04</v>
      </c>
      <c r="D163" s="12">
        <v>46169.0</v>
      </c>
      <c r="F163" s="2" t="s">
        <v>247</v>
      </c>
      <c r="G163" s="2" t="str">
        <f>VLOOKUP(F163,Tabela_1[#ALL],2,0)</f>
        <v>MedPlus Indústria Cooperativa</v>
      </c>
      <c r="H163" s="2" t="str">
        <f>VLOOKUP(F163,Tabela_1[#ALL],3,0)</f>
        <v>farmaceutico</v>
      </c>
      <c r="I163" s="2" t="s">
        <v>49</v>
      </c>
      <c r="J163" s="2">
        <v>2.0</v>
      </c>
      <c r="K163" s="14">
        <v>20727.0</v>
      </c>
      <c r="L163" s="14">
        <v>17642.8</v>
      </c>
      <c r="M163" s="14">
        <v>3084.2</v>
      </c>
      <c r="N163" s="14">
        <v>1646.0</v>
      </c>
      <c r="O163" s="14">
        <f t="shared" si="2"/>
        <v>1438.2</v>
      </c>
      <c r="P163" s="2" t="s">
        <v>2601</v>
      </c>
    </row>
    <row r="164" ht="22.5" customHeight="1">
      <c r="A164" s="2" t="s">
        <v>813</v>
      </c>
      <c r="B164" s="12">
        <v>46136.0</v>
      </c>
      <c r="C164" s="13" t="str">
        <f t="shared" si="1"/>
        <v>2026-04</v>
      </c>
      <c r="D164" s="12">
        <v>46165.0</v>
      </c>
      <c r="E164" s="12">
        <v>46162.0</v>
      </c>
      <c r="F164" s="2" t="s">
        <v>98</v>
      </c>
      <c r="G164" s="2" t="str">
        <f>VLOOKUP(F164,Tabela_1[#ALL],2,0)</f>
        <v>Atacarejo Maringá</v>
      </c>
      <c r="H164" s="2" t="str">
        <f>VLOOKUP(F164,Tabela_1[#ALL],3,0)</f>
        <v>distribuidor</v>
      </c>
      <c r="I164" s="2" t="s">
        <v>43</v>
      </c>
      <c r="J164" s="2">
        <v>1.0</v>
      </c>
      <c r="K164" s="14">
        <v>7959.0</v>
      </c>
      <c r="L164" s="14">
        <v>5912.4</v>
      </c>
      <c r="M164" s="14">
        <v>2046.6</v>
      </c>
      <c r="N164" s="14">
        <v>3530.0</v>
      </c>
      <c r="O164" s="14">
        <f t="shared" si="2"/>
        <v>-1483.4</v>
      </c>
      <c r="P164" s="2" t="s">
        <v>2597</v>
      </c>
    </row>
    <row r="165" ht="22.5" customHeight="1">
      <c r="A165" s="2" t="s">
        <v>814</v>
      </c>
      <c r="B165" s="12">
        <v>46136.0</v>
      </c>
      <c r="C165" s="13" t="str">
        <f t="shared" si="1"/>
        <v>2026-04</v>
      </c>
      <c r="D165" s="12">
        <v>46162.0</v>
      </c>
      <c r="F165" s="2" t="s">
        <v>159</v>
      </c>
      <c r="G165" s="2" t="str">
        <f>VLOOKUP(F165,Tabela_1[#ALL],2,0)</f>
        <v>Biolatina Indústria EPP</v>
      </c>
      <c r="H165" s="2" t="str">
        <f>VLOOKUP(F165,Tabela_1[#ALL],3,0)</f>
        <v>farmaceutico</v>
      </c>
      <c r="I165" s="2" t="s">
        <v>39</v>
      </c>
      <c r="J165" s="2">
        <v>1.0</v>
      </c>
      <c r="K165" s="14">
        <v>13448.4</v>
      </c>
      <c r="L165" s="14">
        <v>10886.8</v>
      </c>
      <c r="M165" s="14">
        <v>2561.6</v>
      </c>
      <c r="N165" s="14">
        <v>646.0</v>
      </c>
      <c r="O165" s="14">
        <f t="shared" si="2"/>
        <v>1915.6</v>
      </c>
      <c r="P165" s="2" t="s">
        <v>2601</v>
      </c>
    </row>
    <row r="166" ht="22.5" customHeight="1">
      <c r="A166" s="2" t="s">
        <v>817</v>
      </c>
      <c r="B166" s="12">
        <v>46137.0</v>
      </c>
      <c r="C166" s="13" t="str">
        <f t="shared" si="1"/>
        <v>2026-04</v>
      </c>
      <c r="D166" s="12">
        <v>46169.0</v>
      </c>
      <c r="E166" s="12">
        <v>46169.0</v>
      </c>
      <c r="F166" s="2" t="s">
        <v>23</v>
      </c>
      <c r="G166" s="2" t="str">
        <f>VLOOKUP(F166,Tabela_1[#ALL],2,0)</f>
        <v>Nova Era Cosméticos</v>
      </c>
      <c r="H166" s="2" t="str">
        <f>VLOOKUP(F166,Tabela_1[#ALL],3,0)</f>
        <v>cosmetico</v>
      </c>
      <c r="I166" s="2" t="s">
        <v>22</v>
      </c>
      <c r="J166" s="2">
        <v>3.0</v>
      </c>
      <c r="K166" s="14">
        <v>174816.0</v>
      </c>
      <c r="L166" s="14">
        <v>133193.1</v>
      </c>
      <c r="M166" s="14">
        <v>41622.9</v>
      </c>
      <c r="N166" s="14">
        <v>5905.0</v>
      </c>
      <c r="O166" s="14">
        <f t="shared" si="2"/>
        <v>35717.9</v>
      </c>
      <c r="P166" s="2" t="s">
        <v>2597</v>
      </c>
    </row>
    <row r="167" ht="22.5" customHeight="1">
      <c r="A167" s="2" t="s">
        <v>824</v>
      </c>
      <c r="B167" s="12">
        <v>46137.0</v>
      </c>
      <c r="C167" s="13" t="str">
        <f t="shared" si="1"/>
        <v>2026-04</v>
      </c>
      <c r="D167" s="12">
        <v>46169.0</v>
      </c>
      <c r="E167" s="12">
        <v>46180.0</v>
      </c>
      <c r="F167" s="2" t="s">
        <v>71</v>
      </c>
      <c r="G167" s="2" t="str">
        <f>VLOOKUP(F167,Tabela_1[#ALL],2,0)</f>
        <v>Supermercados Avenida</v>
      </c>
      <c r="H167" s="2" t="str">
        <f>VLOOKUP(F167,Tabela_1[#ALL],3,0)</f>
        <v>varejo</v>
      </c>
      <c r="I167" s="2" t="s">
        <v>39</v>
      </c>
      <c r="J167" s="2">
        <v>1.0</v>
      </c>
      <c r="K167" s="14">
        <v>49068.5</v>
      </c>
      <c r="L167" s="14">
        <v>38499.9</v>
      </c>
      <c r="M167" s="14">
        <v>10568.6</v>
      </c>
      <c r="N167" s="14">
        <v>113.0</v>
      </c>
      <c r="O167" s="14">
        <f t="shared" si="2"/>
        <v>10455.6</v>
      </c>
      <c r="P167" s="2" t="s">
        <v>2599</v>
      </c>
    </row>
    <row r="168" ht="22.5" customHeight="1">
      <c r="A168" s="2" t="s">
        <v>828</v>
      </c>
      <c r="B168" s="12">
        <v>46137.0</v>
      </c>
      <c r="C168" s="13" t="str">
        <f t="shared" si="1"/>
        <v>2026-04</v>
      </c>
      <c r="D168" s="12">
        <v>46159.0</v>
      </c>
      <c r="E168" s="12">
        <v>46166.0</v>
      </c>
      <c r="F168" s="2" t="s">
        <v>98</v>
      </c>
      <c r="G168" s="2" t="str">
        <f>VLOOKUP(F168,Tabela_1[#ALL],2,0)</f>
        <v>Atacarejo Maringá</v>
      </c>
      <c r="H168" s="2" t="str">
        <f>VLOOKUP(F168,Tabela_1[#ALL],3,0)</f>
        <v>distribuidor</v>
      </c>
      <c r="I168" s="2" t="s">
        <v>43</v>
      </c>
      <c r="J168" s="2">
        <v>1.0</v>
      </c>
      <c r="K168" s="14">
        <v>4804.8</v>
      </c>
      <c r="L168" s="14">
        <v>3775.2</v>
      </c>
      <c r="M168" s="14">
        <v>1029.6</v>
      </c>
      <c r="N168" s="14">
        <v>2345.0</v>
      </c>
      <c r="O168" s="14">
        <f t="shared" si="2"/>
        <v>-1315.4</v>
      </c>
      <c r="P168" s="2" t="s">
        <v>2599</v>
      </c>
    </row>
    <row r="169" ht="22.5" customHeight="1">
      <c r="A169" s="2" t="s">
        <v>830</v>
      </c>
      <c r="B169" s="12">
        <v>46137.0</v>
      </c>
      <c r="C169" s="13" t="str">
        <f t="shared" si="1"/>
        <v>2026-04</v>
      </c>
      <c r="D169" s="12">
        <v>46172.0</v>
      </c>
      <c r="E169" s="12">
        <v>46169.0</v>
      </c>
      <c r="F169" s="2" t="s">
        <v>103</v>
      </c>
      <c r="G169" s="2" t="str">
        <f>VLOOKUP(F169,Tabela_1[#ALL],2,0)</f>
        <v>Sabor da Terra</v>
      </c>
      <c r="H169" s="2" t="str">
        <f>VLOOKUP(F169,Tabela_1[#ALL],3,0)</f>
        <v>alimenticio</v>
      </c>
      <c r="I169" s="2" t="s">
        <v>91</v>
      </c>
      <c r="J169" s="2">
        <v>2.0</v>
      </c>
      <c r="K169" s="14">
        <v>8506.4</v>
      </c>
      <c r="L169" s="14">
        <v>7595.0</v>
      </c>
      <c r="M169" s="14">
        <v>911.4</v>
      </c>
      <c r="N169" s="14">
        <v>2387.0</v>
      </c>
      <c r="O169" s="14">
        <f t="shared" si="2"/>
        <v>-1475.6</v>
      </c>
      <c r="P169" s="2" t="s">
        <v>2597</v>
      </c>
    </row>
    <row r="170" ht="22.5" customHeight="1">
      <c r="A170" s="2" t="s">
        <v>832</v>
      </c>
      <c r="B170" s="12">
        <v>46137.0</v>
      </c>
      <c r="C170" s="13" t="str">
        <f t="shared" si="1"/>
        <v>2026-04</v>
      </c>
      <c r="D170" s="12">
        <v>46167.0</v>
      </c>
      <c r="F170" s="2" t="s">
        <v>185</v>
      </c>
      <c r="G170" s="2" t="str">
        <f>VLOOKUP(F170,Tabela_1[#ALL],2,0)</f>
        <v>Floratta Cosméticos S.A.</v>
      </c>
      <c r="H170" s="2" t="str">
        <f>VLOOKUP(F170,Tabela_1[#ALL],3,0)</f>
        <v>cosmetico</v>
      </c>
      <c r="I170" s="2" t="s">
        <v>22</v>
      </c>
      <c r="J170" s="2">
        <v>2.0</v>
      </c>
      <c r="K170" s="14">
        <v>10956.4</v>
      </c>
      <c r="L170" s="14">
        <v>9782.5</v>
      </c>
      <c r="M170" s="14">
        <v>1173.9</v>
      </c>
      <c r="N170" s="14">
        <v>2046.0</v>
      </c>
      <c r="O170" s="14">
        <f t="shared" si="2"/>
        <v>-872.1</v>
      </c>
      <c r="P170" s="2" t="s">
        <v>2601</v>
      </c>
    </row>
    <row r="171" ht="22.5" customHeight="1">
      <c r="A171" s="2" t="s">
        <v>835</v>
      </c>
      <c r="B171" s="12">
        <v>46137.0</v>
      </c>
      <c r="C171" s="13" t="str">
        <f t="shared" si="1"/>
        <v>2026-04</v>
      </c>
      <c r="D171" s="12">
        <v>46154.0</v>
      </c>
      <c r="E171" s="12">
        <v>46151.0</v>
      </c>
      <c r="F171" s="2" t="s">
        <v>255</v>
      </c>
      <c r="G171" s="2" t="str">
        <f>VLOOKUP(F171,Tabela_1[#ALL],2,0)</f>
        <v>Lumen Beauty EPP (Apucarana)</v>
      </c>
      <c r="H171" s="2" t="str">
        <f>VLOOKUP(F171,Tabela_1[#ALL],3,0)</f>
        <v>cosmetico</v>
      </c>
      <c r="I171" s="2" t="s">
        <v>39</v>
      </c>
      <c r="J171" s="2">
        <v>3.0</v>
      </c>
      <c r="K171" s="14">
        <v>23992.0</v>
      </c>
      <c r="L171" s="14">
        <v>19161.0</v>
      </c>
      <c r="M171" s="14">
        <v>4831.0</v>
      </c>
      <c r="N171" s="14">
        <v>3662.0</v>
      </c>
      <c r="O171" s="14">
        <f t="shared" si="2"/>
        <v>1169</v>
      </c>
      <c r="P171" s="2" t="s">
        <v>2597</v>
      </c>
    </row>
    <row r="172" ht="22.5" customHeight="1">
      <c r="A172" s="2" t="s">
        <v>838</v>
      </c>
      <c r="B172" s="12">
        <v>46138.0</v>
      </c>
      <c r="C172" s="13" t="str">
        <f t="shared" si="1"/>
        <v>2026-04</v>
      </c>
      <c r="D172" s="12">
        <v>46163.0</v>
      </c>
      <c r="E172" s="12">
        <v>46161.0</v>
      </c>
      <c r="F172" s="2" t="s">
        <v>59</v>
      </c>
      <c r="G172" s="2" t="str">
        <f>VLOOKUP(F172,Tabela_1[#ALL],2,0)</f>
        <v>BioGenova</v>
      </c>
      <c r="H172" s="2" t="str">
        <f>VLOOKUP(F172,Tabela_1[#ALL],3,0)</f>
        <v>farmaceutico</v>
      </c>
      <c r="I172" s="2" t="s">
        <v>49</v>
      </c>
      <c r="J172" s="2">
        <v>3.0</v>
      </c>
      <c r="K172" s="14">
        <v>38919.8</v>
      </c>
      <c r="L172" s="14">
        <v>32623.95</v>
      </c>
      <c r="M172" s="14">
        <v>6295.85</v>
      </c>
      <c r="N172" s="14">
        <v>10046.0</v>
      </c>
      <c r="O172" s="14">
        <f t="shared" si="2"/>
        <v>-3750.15</v>
      </c>
      <c r="P172" s="2" t="s">
        <v>2597</v>
      </c>
    </row>
    <row r="173" ht="22.5" customHeight="1">
      <c r="A173" s="2" t="s">
        <v>843</v>
      </c>
      <c r="B173" s="12">
        <v>46138.0</v>
      </c>
      <c r="C173" s="13" t="str">
        <f t="shared" si="1"/>
        <v>2026-04</v>
      </c>
      <c r="D173" s="12">
        <v>46166.0</v>
      </c>
      <c r="E173" s="12">
        <v>46165.0</v>
      </c>
      <c r="F173" s="2" t="s">
        <v>92</v>
      </c>
      <c r="G173" s="2" t="str">
        <f>VLOOKUP(F173,Tabela_1[#ALL],2,0)</f>
        <v>EssenciaPura</v>
      </c>
      <c r="H173" s="2" t="str">
        <f>VLOOKUP(F173,Tabela_1[#ALL],3,0)</f>
        <v>cosmetico</v>
      </c>
      <c r="I173" s="2" t="s">
        <v>39</v>
      </c>
      <c r="J173" s="2">
        <v>2.0</v>
      </c>
      <c r="K173" s="14">
        <v>8481.2</v>
      </c>
      <c r="L173" s="14">
        <v>6857.55</v>
      </c>
      <c r="M173" s="14">
        <v>1623.65</v>
      </c>
      <c r="N173" s="14">
        <v>1698.0</v>
      </c>
      <c r="O173" s="14">
        <f t="shared" si="2"/>
        <v>-74.35</v>
      </c>
      <c r="P173" s="2" t="s">
        <v>2597</v>
      </c>
    </row>
    <row r="174" ht="22.5" customHeight="1">
      <c r="A174" s="2" t="s">
        <v>847</v>
      </c>
      <c r="B174" s="12">
        <v>46138.0</v>
      </c>
      <c r="C174" s="13" t="str">
        <f t="shared" si="1"/>
        <v>2026-04</v>
      </c>
      <c r="D174" s="12">
        <v>46165.0</v>
      </c>
      <c r="E174" s="12">
        <v>46166.0</v>
      </c>
      <c r="F174" s="2" t="s">
        <v>138</v>
      </c>
      <c r="G174" s="2" t="str">
        <f>VLOOKUP(F174,Tabela_1[#ALL],2,0)</f>
        <v>Mercatto ME</v>
      </c>
      <c r="H174" s="2" t="str">
        <f>VLOOKUP(F174,Tabela_1[#ALL],3,0)</f>
        <v>varejo</v>
      </c>
      <c r="I174" s="2" t="s">
        <v>39</v>
      </c>
      <c r="J174" s="2">
        <v>2.0</v>
      </c>
      <c r="K174" s="14">
        <v>18011.5</v>
      </c>
      <c r="L174" s="14">
        <v>14132.1</v>
      </c>
      <c r="M174" s="14">
        <v>3879.4</v>
      </c>
      <c r="N174" s="14">
        <v>1167.0</v>
      </c>
      <c r="O174" s="14">
        <f t="shared" si="2"/>
        <v>2712.4</v>
      </c>
      <c r="P174" s="2" t="s">
        <v>2597</v>
      </c>
    </row>
    <row r="175" ht="22.5" customHeight="1">
      <c r="A175" s="2" t="s">
        <v>848</v>
      </c>
      <c r="B175" s="12">
        <v>46138.0</v>
      </c>
      <c r="C175" s="13" t="str">
        <f t="shared" si="1"/>
        <v>2026-04</v>
      </c>
      <c r="D175" s="12">
        <v>46153.0</v>
      </c>
      <c r="E175" s="12">
        <v>46151.0</v>
      </c>
      <c r="F175" s="2" t="s">
        <v>183</v>
      </c>
      <c r="G175" s="2" t="str">
        <f>VLOOKUP(F175,Tabela_1[#ALL],2,0)</f>
        <v>Distrib. Litoral Sul S.A.</v>
      </c>
      <c r="H175" s="2" t="str">
        <f>VLOOKUP(F175,Tabela_1[#ALL],3,0)</f>
        <v>distribuidor</v>
      </c>
      <c r="I175" s="2" t="s">
        <v>39</v>
      </c>
      <c r="J175" s="2">
        <v>3.0</v>
      </c>
      <c r="K175" s="14">
        <v>12108.9</v>
      </c>
      <c r="L175" s="14">
        <v>10374.6</v>
      </c>
      <c r="M175" s="14">
        <v>1734.3</v>
      </c>
      <c r="N175" s="14">
        <v>1181.0</v>
      </c>
      <c r="O175" s="14">
        <f t="shared" si="2"/>
        <v>553.3</v>
      </c>
      <c r="P175" s="2" t="s">
        <v>2597</v>
      </c>
    </row>
    <row r="176" ht="22.5" customHeight="1">
      <c r="A176" s="2" t="s">
        <v>852</v>
      </c>
      <c r="B176" s="12">
        <v>46138.0</v>
      </c>
      <c r="C176" s="13" t="str">
        <f t="shared" si="1"/>
        <v>2026-04</v>
      </c>
      <c r="D176" s="12">
        <v>46165.0</v>
      </c>
      <c r="F176" s="2" t="s">
        <v>199</v>
      </c>
      <c r="G176" s="2" t="str">
        <f>VLOOKUP(F176,Tabela_1[#ALL],2,0)</f>
        <v>DistribuPlus Ltda</v>
      </c>
      <c r="H176" s="2" t="str">
        <f>VLOOKUP(F176,Tabela_1[#ALL],3,0)</f>
        <v>distribuidor</v>
      </c>
      <c r="I176" s="2" t="s">
        <v>22</v>
      </c>
      <c r="J176" s="2">
        <v>2.0</v>
      </c>
      <c r="K176" s="14">
        <v>16336.6</v>
      </c>
      <c r="L176" s="14">
        <v>13905.5</v>
      </c>
      <c r="M176" s="14">
        <v>2431.1</v>
      </c>
      <c r="N176" s="14">
        <v>2505.0</v>
      </c>
      <c r="O176" s="14">
        <f t="shared" si="2"/>
        <v>-73.9</v>
      </c>
      <c r="P176" s="2" t="s">
        <v>2600</v>
      </c>
    </row>
    <row r="177" ht="22.5" customHeight="1">
      <c r="A177" s="2" t="s">
        <v>854</v>
      </c>
      <c r="B177" s="12">
        <v>46138.0</v>
      </c>
      <c r="C177" s="13" t="str">
        <f t="shared" si="1"/>
        <v>2026-04</v>
      </c>
      <c r="D177" s="12">
        <v>46162.0</v>
      </c>
      <c r="E177" s="12">
        <v>46163.0</v>
      </c>
      <c r="F177" s="2" t="s">
        <v>205</v>
      </c>
      <c r="G177" s="2" t="str">
        <f>VLOOKUP(F177,Tabela_1[#ALL],2,0)</f>
        <v>Farmalivre Indústria</v>
      </c>
      <c r="H177" s="2" t="str">
        <f>VLOOKUP(F177,Tabela_1[#ALL],3,0)</f>
        <v>farmaceutico</v>
      </c>
      <c r="I177" s="2" t="s">
        <v>91</v>
      </c>
      <c r="J177" s="2">
        <v>2.0</v>
      </c>
      <c r="K177" s="14">
        <v>22819.2</v>
      </c>
      <c r="L177" s="14">
        <v>18450.3</v>
      </c>
      <c r="M177" s="14">
        <v>4368.9</v>
      </c>
      <c r="N177" s="14">
        <v>2055.0</v>
      </c>
      <c r="O177" s="14">
        <f t="shared" si="2"/>
        <v>2313.9</v>
      </c>
      <c r="P177" s="2" t="s">
        <v>2597</v>
      </c>
    </row>
    <row r="178" ht="22.5" customHeight="1">
      <c r="A178" s="2" t="s">
        <v>858</v>
      </c>
      <c r="B178" s="12">
        <v>46138.0</v>
      </c>
      <c r="C178" s="13" t="str">
        <f t="shared" si="1"/>
        <v>2026-04</v>
      </c>
      <c r="D178" s="12">
        <v>46169.0</v>
      </c>
      <c r="E178" s="12">
        <v>46169.0</v>
      </c>
      <c r="F178" s="2" t="s">
        <v>237</v>
      </c>
      <c r="G178" s="2" t="str">
        <f>VLOOKUP(F178,Tabela_1[#ALL],2,0)</f>
        <v>Sabor Forte Alimentos Comércio</v>
      </c>
      <c r="H178" s="2" t="str">
        <f>VLOOKUP(F178,Tabela_1[#ALL],3,0)</f>
        <v>alimenticio</v>
      </c>
      <c r="I178" s="2" t="s">
        <v>22</v>
      </c>
      <c r="J178" s="2">
        <v>1.0</v>
      </c>
      <c r="K178" s="14">
        <v>22033.2</v>
      </c>
      <c r="L178" s="14">
        <v>17836.4</v>
      </c>
      <c r="M178" s="14">
        <v>4196.8</v>
      </c>
      <c r="N178" s="14">
        <v>1409.0</v>
      </c>
      <c r="O178" s="14">
        <f t="shared" si="2"/>
        <v>2787.8</v>
      </c>
      <c r="P178" s="2" t="s">
        <v>2597</v>
      </c>
    </row>
    <row r="179" ht="22.5" customHeight="1">
      <c r="A179" s="2" t="s">
        <v>861</v>
      </c>
      <c r="B179" s="12">
        <v>46138.0</v>
      </c>
      <c r="C179" s="13" t="str">
        <f t="shared" si="1"/>
        <v>2026-04</v>
      </c>
      <c r="D179" s="12">
        <v>46171.0</v>
      </c>
      <c r="E179" s="12">
        <v>46172.0</v>
      </c>
      <c r="F179" s="2" t="s">
        <v>245</v>
      </c>
      <c r="G179" s="2" t="str">
        <f>VLOOKUP(F179,Tabela_1[#ALL],2,0)</f>
        <v>Laticínios Boa Vista ME</v>
      </c>
      <c r="H179" s="2" t="str">
        <f>VLOOKUP(F179,Tabela_1[#ALL],3,0)</f>
        <v>alimenticio</v>
      </c>
      <c r="I179" s="2" t="s">
        <v>22</v>
      </c>
      <c r="J179" s="2">
        <v>3.0</v>
      </c>
      <c r="K179" s="14">
        <v>20182.4</v>
      </c>
      <c r="L179" s="14">
        <v>15136.8</v>
      </c>
      <c r="M179" s="14">
        <v>5045.6</v>
      </c>
      <c r="N179" s="14">
        <v>2724.0</v>
      </c>
      <c r="O179" s="14">
        <f t="shared" si="2"/>
        <v>2321.6</v>
      </c>
      <c r="P179" s="2" t="s">
        <v>2597</v>
      </c>
    </row>
    <row r="180" ht="22.5" customHeight="1">
      <c r="A180" s="2" t="s">
        <v>863</v>
      </c>
      <c r="B180" s="12">
        <v>46139.0</v>
      </c>
      <c r="C180" s="13" t="str">
        <f t="shared" si="1"/>
        <v>2026-04</v>
      </c>
      <c r="D180" s="12">
        <v>46155.0</v>
      </c>
      <c r="E180" s="12">
        <v>46156.0</v>
      </c>
      <c r="F180" s="2" t="s">
        <v>10</v>
      </c>
      <c r="G180" s="2" t="str">
        <f>VLOOKUP(F180,Tabela_1[#ALL],2,0)</f>
        <v>AgroMar</v>
      </c>
      <c r="H180" s="2" t="str">
        <f>VLOOKUP(F180,Tabela_1[#ALL],3,0)</f>
        <v>alimenticio</v>
      </c>
      <c r="I180" s="2" t="s">
        <v>16</v>
      </c>
      <c r="J180" s="2">
        <v>2.0</v>
      </c>
      <c r="K180" s="14">
        <v>147706.6</v>
      </c>
      <c r="L180" s="14">
        <v>111680.6</v>
      </c>
      <c r="M180" s="14">
        <v>36026.0</v>
      </c>
      <c r="N180" s="14">
        <v>12032.0</v>
      </c>
      <c r="O180" s="14">
        <f t="shared" si="2"/>
        <v>23994</v>
      </c>
      <c r="P180" s="2" t="s">
        <v>2597</v>
      </c>
    </row>
    <row r="181" ht="22.5" customHeight="1">
      <c r="A181" s="2" t="s">
        <v>868</v>
      </c>
      <c r="B181" s="12">
        <v>46139.0</v>
      </c>
      <c r="C181" s="13" t="str">
        <f t="shared" si="1"/>
        <v>2026-04</v>
      </c>
      <c r="D181" s="12">
        <v>46161.0</v>
      </c>
      <c r="E181" s="12">
        <v>46159.0</v>
      </c>
      <c r="F181" s="2" t="s">
        <v>64</v>
      </c>
      <c r="G181" s="2" t="str">
        <f>VLOOKUP(F181,Tabela_1[#ALL],2,0)</f>
        <v>Aromatic</v>
      </c>
      <c r="H181" s="2" t="str">
        <f>VLOOKUP(F181,Tabela_1[#ALL],3,0)</f>
        <v>cosmetico</v>
      </c>
      <c r="I181" s="2" t="s">
        <v>56</v>
      </c>
      <c r="J181" s="2">
        <v>2.0</v>
      </c>
      <c r="K181" s="14">
        <v>97686.2</v>
      </c>
      <c r="L181" s="14">
        <v>75009.0</v>
      </c>
      <c r="M181" s="14">
        <v>22677.2</v>
      </c>
      <c r="N181" s="14">
        <v>8456.0</v>
      </c>
      <c r="O181" s="14">
        <f t="shared" si="2"/>
        <v>14221.2</v>
      </c>
      <c r="P181" s="2" t="s">
        <v>2597</v>
      </c>
    </row>
    <row r="182" ht="22.5" customHeight="1">
      <c r="A182" s="2" t="s">
        <v>875</v>
      </c>
      <c r="B182" s="12">
        <v>46139.0</v>
      </c>
      <c r="C182" s="13" t="str">
        <f t="shared" si="1"/>
        <v>2026-04</v>
      </c>
      <c r="D182" s="12">
        <v>46172.0</v>
      </c>
      <c r="E182" s="12">
        <v>46172.0</v>
      </c>
      <c r="F182" s="2" t="s">
        <v>86</v>
      </c>
      <c r="G182" s="2" t="str">
        <f>VLOOKUP(F182,Tabela_1[#ALL],2,0)</f>
        <v>Padaria do Seu Joaquim</v>
      </c>
      <c r="H182" s="2" t="str">
        <f>VLOOKUP(F182,Tabela_1[#ALL],3,0)</f>
        <v>outros</v>
      </c>
      <c r="I182" s="2" t="s">
        <v>39</v>
      </c>
      <c r="J182" s="2">
        <v>1.0</v>
      </c>
      <c r="K182" s="14">
        <v>4116.0</v>
      </c>
      <c r="L182" s="14">
        <v>3675.0</v>
      </c>
      <c r="M182" s="14">
        <v>441.0</v>
      </c>
      <c r="N182" s="14">
        <v>586.0</v>
      </c>
      <c r="O182" s="14">
        <f t="shared" si="2"/>
        <v>-145</v>
      </c>
      <c r="P182" s="2" t="s">
        <v>2597</v>
      </c>
    </row>
    <row r="183" ht="22.5" customHeight="1">
      <c r="A183" s="2" t="s">
        <v>876</v>
      </c>
      <c r="B183" s="12">
        <v>46139.0</v>
      </c>
      <c r="C183" s="13" t="str">
        <f t="shared" si="1"/>
        <v>2026-04</v>
      </c>
      <c r="D183" s="12">
        <v>46156.0</v>
      </c>
      <c r="E183" s="12">
        <v>46155.0</v>
      </c>
      <c r="F183" s="2" t="s">
        <v>136</v>
      </c>
      <c r="G183" s="2" t="str">
        <f>VLOOKUP(F183,Tabela_1[#ALL],2,0)</f>
        <v>Varejo Familiar Ltda</v>
      </c>
      <c r="H183" s="2" t="str">
        <f>VLOOKUP(F183,Tabela_1[#ALL],3,0)</f>
        <v>varejo</v>
      </c>
      <c r="I183" s="2" t="s">
        <v>49</v>
      </c>
      <c r="J183" s="2">
        <v>3.0</v>
      </c>
      <c r="K183" s="14">
        <v>22092.0</v>
      </c>
      <c r="L183" s="14">
        <v>17884.0</v>
      </c>
      <c r="M183" s="14">
        <v>4208.0</v>
      </c>
      <c r="N183" s="14">
        <v>439.0</v>
      </c>
      <c r="O183" s="14">
        <f t="shared" si="2"/>
        <v>3769</v>
      </c>
      <c r="P183" s="2" t="s">
        <v>2597</v>
      </c>
    </row>
    <row r="184" ht="22.5" customHeight="1">
      <c r="A184" s="2" t="s">
        <v>879</v>
      </c>
      <c r="B184" s="12">
        <v>46139.0</v>
      </c>
      <c r="C184" s="13" t="str">
        <f t="shared" si="1"/>
        <v>2026-04</v>
      </c>
      <c r="D184" s="12">
        <v>46160.0</v>
      </c>
      <c r="E184" s="12">
        <v>46160.0</v>
      </c>
      <c r="F184" s="2" t="s">
        <v>181</v>
      </c>
      <c r="G184" s="2" t="str">
        <f>VLOOKUP(F184,Tabela_1[#ALL],2,0)</f>
        <v>Mercatto Comércio</v>
      </c>
      <c r="H184" s="2" t="str">
        <f>VLOOKUP(F184,Tabela_1[#ALL],3,0)</f>
        <v>varejo</v>
      </c>
      <c r="I184" s="2" t="s">
        <v>39</v>
      </c>
      <c r="J184" s="2">
        <v>1.0</v>
      </c>
      <c r="K184" s="14">
        <v>11089.0</v>
      </c>
      <c r="L184" s="14">
        <v>8700.6</v>
      </c>
      <c r="M184" s="14">
        <v>2388.4</v>
      </c>
      <c r="N184" s="14">
        <v>60.0</v>
      </c>
      <c r="O184" s="14">
        <f t="shared" si="2"/>
        <v>2328.4</v>
      </c>
      <c r="P184" s="2" t="s">
        <v>2597</v>
      </c>
    </row>
    <row r="185" ht="22.5" customHeight="1">
      <c r="A185" s="2" t="s">
        <v>880</v>
      </c>
      <c r="B185" s="12">
        <v>46139.0</v>
      </c>
      <c r="C185" s="13" t="str">
        <f t="shared" si="1"/>
        <v>2026-04</v>
      </c>
      <c r="D185" s="12">
        <v>46168.0</v>
      </c>
      <c r="E185" s="12">
        <v>46167.0</v>
      </c>
      <c r="F185" s="2" t="s">
        <v>241</v>
      </c>
      <c r="G185" s="2" t="str">
        <f>VLOOKUP(F185,Tabela_1[#ALL],2,0)</f>
        <v>EssenciaPura EPP (Cascavel)</v>
      </c>
      <c r="H185" s="2" t="str">
        <f>VLOOKUP(F185,Tabela_1[#ALL],3,0)</f>
        <v>cosmetico</v>
      </c>
      <c r="I185" s="2" t="s">
        <v>39</v>
      </c>
      <c r="J185" s="2">
        <v>3.0</v>
      </c>
      <c r="K185" s="14">
        <v>10364.2</v>
      </c>
      <c r="L185" s="14">
        <v>8678.0</v>
      </c>
      <c r="M185" s="14">
        <v>1686.2</v>
      </c>
      <c r="N185" s="14">
        <v>536.0</v>
      </c>
      <c r="O185" s="14">
        <f t="shared" si="2"/>
        <v>1150.2</v>
      </c>
      <c r="P185" s="2" t="s">
        <v>2597</v>
      </c>
    </row>
    <row r="186" ht="22.5" customHeight="1">
      <c r="A186" s="2" t="s">
        <v>884</v>
      </c>
      <c r="B186" s="12">
        <v>46140.0</v>
      </c>
      <c r="C186" s="13" t="str">
        <f t="shared" si="1"/>
        <v>2026-04</v>
      </c>
      <c r="D186" s="12">
        <v>46170.0</v>
      </c>
      <c r="E186" s="12">
        <v>46169.0</v>
      </c>
      <c r="F186" s="2" t="s">
        <v>35</v>
      </c>
      <c r="G186" s="2" t="str">
        <f>VLOOKUP(F186,Tabela_1[#ALL],2,0)</f>
        <v>CoopVale</v>
      </c>
      <c r="H186" s="2" t="str">
        <f>VLOOKUP(F186,Tabela_1[#ALL],3,0)</f>
        <v>alimenticio</v>
      </c>
      <c r="I186" s="2" t="s">
        <v>39</v>
      </c>
      <c r="J186" s="2">
        <v>2.0</v>
      </c>
      <c r="K186" s="14">
        <v>82987.8</v>
      </c>
      <c r="L186" s="14">
        <v>70638.6</v>
      </c>
      <c r="M186" s="14">
        <v>12349.2</v>
      </c>
      <c r="N186" s="14">
        <v>490.0</v>
      </c>
      <c r="O186" s="14">
        <f t="shared" si="2"/>
        <v>11859.2</v>
      </c>
      <c r="P186" s="2" t="s">
        <v>2597</v>
      </c>
    </row>
    <row r="187" ht="22.5" customHeight="1">
      <c r="A187" s="2" t="s">
        <v>887</v>
      </c>
      <c r="B187" s="12">
        <v>46140.0</v>
      </c>
      <c r="C187" s="13" t="str">
        <f t="shared" si="1"/>
        <v>2026-04</v>
      </c>
      <c r="D187" s="12">
        <v>46174.0</v>
      </c>
      <c r="E187" s="12">
        <v>46171.0</v>
      </c>
      <c r="F187" s="2" t="s">
        <v>124</v>
      </c>
      <c r="G187" s="2" t="str">
        <f>VLOOKUP(F187,Tabela_1[#ALL],2,0)</f>
        <v>Mercatto Indústria</v>
      </c>
      <c r="H187" s="2" t="str">
        <f>VLOOKUP(F187,Tabela_1[#ALL],3,0)</f>
        <v>varejo</v>
      </c>
      <c r="I187" s="2" t="s">
        <v>49</v>
      </c>
      <c r="J187" s="2">
        <v>2.0</v>
      </c>
      <c r="K187" s="14">
        <v>8789.2</v>
      </c>
      <c r="L187" s="14">
        <v>7847.5</v>
      </c>
      <c r="M187" s="14">
        <v>941.7</v>
      </c>
      <c r="N187" s="14">
        <v>1957.0</v>
      </c>
      <c r="O187" s="14">
        <f t="shared" si="2"/>
        <v>-1015.3</v>
      </c>
      <c r="P187" s="2" t="s">
        <v>2597</v>
      </c>
    </row>
    <row r="188" ht="22.5" customHeight="1">
      <c r="A188" s="2" t="s">
        <v>889</v>
      </c>
      <c r="B188" s="12">
        <v>46140.0</v>
      </c>
      <c r="C188" s="13" t="str">
        <f t="shared" si="1"/>
        <v>2026-04</v>
      </c>
      <c r="D188" s="12">
        <v>46157.0</v>
      </c>
      <c r="F188" s="2" t="s">
        <v>197</v>
      </c>
      <c r="G188" s="2" t="str">
        <f>VLOOKUP(F188,Tabela_1[#ALL],2,0)</f>
        <v>Sabor Forte Alimentos Indústria</v>
      </c>
      <c r="H188" s="2" t="str">
        <f>VLOOKUP(F188,Tabela_1[#ALL],3,0)</f>
        <v>alimenticio</v>
      </c>
      <c r="I188" s="2" t="s">
        <v>49</v>
      </c>
      <c r="J188" s="2">
        <v>2.0</v>
      </c>
      <c r="K188" s="14">
        <v>12805.0</v>
      </c>
      <c r="L188" s="14">
        <v>10047.0</v>
      </c>
      <c r="M188" s="14">
        <v>2758.0</v>
      </c>
      <c r="N188" s="14">
        <v>2088.0</v>
      </c>
      <c r="O188" s="14">
        <f t="shared" si="2"/>
        <v>670</v>
      </c>
      <c r="P188" s="2" t="s">
        <v>2598</v>
      </c>
    </row>
    <row r="189" ht="22.5" customHeight="1">
      <c r="A189" s="2" t="s">
        <v>890</v>
      </c>
      <c r="B189" s="12">
        <v>46140.0</v>
      </c>
      <c r="C189" s="13" t="str">
        <f t="shared" si="1"/>
        <v>2026-04</v>
      </c>
      <c r="D189" s="12">
        <v>46174.0</v>
      </c>
      <c r="E189" s="12">
        <v>46175.0</v>
      </c>
      <c r="F189" s="2" t="s">
        <v>199</v>
      </c>
      <c r="G189" s="2" t="str">
        <f>VLOOKUP(F189,Tabela_1[#ALL],2,0)</f>
        <v>DistribuPlus Ltda</v>
      </c>
      <c r="H189" s="2" t="str">
        <f>VLOOKUP(F189,Tabela_1[#ALL],3,0)</f>
        <v>distribuidor</v>
      </c>
      <c r="I189" s="2" t="s">
        <v>22</v>
      </c>
      <c r="J189" s="2">
        <v>3.0</v>
      </c>
      <c r="K189" s="14">
        <v>34174.0</v>
      </c>
      <c r="L189" s="14">
        <v>28614.1</v>
      </c>
      <c r="M189" s="14">
        <v>5559.9</v>
      </c>
      <c r="N189" s="14">
        <v>2786.0</v>
      </c>
      <c r="O189" s="14">
        <f t="shared" si="2"/>
        <v>2773.9</v>
      </c>
      <c r="P189" s="2" t="s">
        <v>2597</v>
      </c>
    </row>
    <row r="190" ht="22.5" customHeight="1">
      <c r="A190" s="2" t="s">
        <v>892</v>
      </c>
      <c r="B190" s="12">
        <v>46140.0</v>
      </c>
      <c r="C190" s="13" t="str">
        <f t="shared" si="1"/>
        <v>2026-04</v>
      </c>
      <c r="D190" s="12">
        <v>46162.0</v>
      </c>
      <c r="E190" s="12">
        <v>46159.0</v>
      </c>
      <c r="F190" s="2" t="s">
        <v>223</v>
      </c>
      <c r="G190" s="2" t="str">
        <f>VLOOKUP(F190,Tabela_1[#ALL],2,0)</f>
        <v>Mercosul Comércio S.A.</v>
      </c>
      <c r="H190" s="2" t="str">
        <f>VLOOKUP(F190,Tabela_1[#ALL],3,0)</f>
        <v>distribuidor</v>
      </c>
      <c r="I190" s="2" t="s">
        <v>91</v>
      </c>
      <c r="J190" s="2">
        <v>1.0</v>
      </c>
      <c r="K190" s="14">
        <v>4062.8</v>
      </c>
      <c r="L190" s="14">
        <v>3627.5</v>
      </c>
      <c r="M190" s="14">
        <v>435.3</v>
      </c>
      <c r="N190" s="14">
        <v>389.0</v>
      </c>
      <c r="O190" s="14">
        <f t="shared" si="2"/>
        <v>46.3</v>
      </c>
      <c r="P190" s="2" t="s">
        <v>2597</v>
      </c>
    </row>
    <row r="191" ht="22.5" customHeight="1">
      <c r="A191" s="2" t="s">
        <v>893</v>
      </c>
      <c r="B191" s="12">
        <v>46140.0</v>
      </c>
      <c r="C191" s="13" t="str">
        <f t="shared" si="1"/>
        <v>2026-04</v>
      </c>
      <c r="D191" s="12">
        <v>46172.0</v>
      </c>
      <c r="F191" s="2" t="s">
        <v>235</v>
      </c>
      <c r="G191" s="2" t="str">
        <f>VLOOKUP(F191,Tabela_1[#ALL],2,0)</f>
        <v>Saúde Total Labs Comércio</v>
      </c>
      <c r="H191" s="2" t="str">
        <f>VLOOKUP(F191,Tabela_1[#ALL],3,0)</f>
        <v>farmaceutico</v>
      </c>
      <c r="I191" s="2" t="s">
        <v>39</v>
      </c>
      <c r="J191" s="2">
        <v>1.0</v>
      </c>
      <c r="K191" s="14">
        <v>16367.4</v>
      </c>
      <c r="L191" s="14">
        <v>12860.1</v>
      </c>
      <c r="M191" s="14">
        <v>3507.3</v>
      </c>
      <c r="N191" s="14">
        <v>96.0</v>
      </c>
      <c r="O191" s="14">
        <f t="shared" si="2"/>
        <v>3411.3</v>
      </c>
      <c r="P191" s="2" t="s">
        <v>2598</v>
      </c>
    </row>
    <row r="192" ht="22.5" customHeight="1">
      <c r="A192" s="2" t="s">
        <v>896</v>
      </c>
      <c r="B192" s="12">
        <v>46140.0</v>
      </c>
      <c r="C192" s="13" t="str">
        <f t="shared" si="1"/>
        <v>2026-04</v>
      </c>
      <c r="D192" s="12">
        <v>46157.0</v>
      </c>
      <c r="E192" s="12">
        <v>46156.0</v>
      </c>
      <c r="F192" s="2" t="s">
        <v>257</v>
      </c>
      <c r="G192" s="2" t="str">
        <f>VLOOKUP(F192,Tabela_1[#ALL],2,0)</f>
        <v>Mercado Vale Ltda (Londrina)</v>
      </c>
      <c r="H192" s="2" t="str">
        <f>VLOOKUP(F192,Tabela_1[#ALL],3,0)</f>
        <v>varejo</v>
      </c>
      <c r="I192" s="2" t="s">
        <v>39</v>
      </c>
      <c r="J192" s="2">
        <v>3.0</v>
      </c>
      <c r="K192" s="14">
        <v>4818.8</v>
      </c>
      <c r="L192" s="14">
        <v>4302.5</v>
      </c>
      <c r="M192" s="14">
        <v>516.3</v>
      </c>
      <c r="N192" s="14">
        <v>2693.0</v>
      </c>
      <c r="O192" s="14">
        <f t="shared" si="2"/>
        <v>-2176.7</v>
      </c>
      <c r="P192" s="2" t="s">
        <v>2597</v>
      </c>
    </row>
    <row r="193" ht="22.5" customHeight="1">
      <c r="A193" s="2" t="s">
        <v>902</v>
      </c>
      <c r="B193" s="12">
        <v>46141.0</v>
      </c>
      <c r="C193" s="13" t="str">
        <f t="shared" si="1"/>
        <v>2026-04</v>
      </c>
      <c r="D193" s="12">
        <v>46159.0</v>
      </c>
      <c r="F193" s="2" t="s">
        <v>51</v>
      </c>
      <c r="G193" s="2" t="str">
        <f>VLOOKUP(F193,Tabela_1[#ALL],2,0)</f>
        <v>LogiPack</v>
      </c>
      <c r="H193" s="2" t="str">
        <f>VLOOKUP(F193,Tabela_1[#ALL],3,0)</f>
        <v>logistica</v>
      </c>
      <c r="I193" s="2" t="s">
        <v>56</v>
      </c>
      <c r="J193" s="2">
        <v>2.0</v>
      </c>
      <c r="K193" s="14">
        <v>50386.0</v>
      </c>
      <c r="L193" s="14">
        <v>42888.2</v>
      </c>
      <c r="M193" s="14">
        <v>7497.8</v>
      </c>
      <c r="N193" s="14">
        <v>1305.0</v>
      </c>
      <c r="O193" s="14">
        <f t="shared" si="2"/>
        <v>6192.8</v>
      </c>
      <c r="P193" s="2" t="s">
        <v>2598</v>
      </c>
    </row>
    <row r="194" ht="22.5" customHeight="1">
      <c r="A194" s="2" t="s">
        <v>906</v>
      </c>
      <c r="B194" s="12">
        <v>46141.0</v>
      </c>
      <c r="C194" s="13" t="str">
        <f t="shared" si="1"/>
        <v>2026-04</v>
      </c>
      <c r="D194" s="12">
        <v>46164.0</v>
      </c>
      <c r="E194" s="12">
        <v>46163.0</v>
      </c>
      <c r="F194" s="2" t="s">
        <v>119</v>
      </c>
      <c r="G194" s="2" t="str">
        <f>VLOOKUP(F194,Tabela_1[#ALL],2,0)</f>
        <v>Coopercana ME</v>
      </c>
      <c r="H194" s="2" t="str">
        <f>VLOOKUP(F194,Tabela_1[#ALL],3,0)</f>
        <v>alimenticio</v>
      </c>
      <c r="I194" s="2" t="s">
        <v>56</v>
      </c>
      <c r="J194" s="2">
        <v>1.0</v>
      </c>
      <c r="K194" s="14">
        <v>3948.0</v>
      </c>
      <c r="L194" s="14">
        <v>3196.0</v>
      </c>
      <c r="M194" s="14">
        <v>752.0</v>
      </c>
      <c r="N194" s="14">
        <v>3805.0</v>
      </c>
      <c r="O194" s="14">
        <f t="shared" si="2"/>
        <v>-3053</v>
      </c>
      <c r="P194" s="2" t="s">
        <v>2597</v>
      </c>
    </row>
    <row r="195" ht="22.5" customHeight="1">
      <c r="A195" s="2" t="s">
        <v>907</v>
      </c>
      <c r="B195" s="12">
        <v>46141.0</v>
      </c>
      <c r="C195" s="13" t="str">
        <f t="shared" si="1"/>
        <v>2026-04</v>
      </c>
      <c r="D195" s="12">
        <v>46172.0</v>
      </c>
      <c r="E195" s="12">
        <v>46171.0</v>
      </c>
      <c r="F195" s="2" t="s">
        <v>149</v>
      </c>
      <c r="G195" s="2" t="str">
        <f>VLOOKUP(F195,Tabela_1[#ALL],2,0)</f>
        <v>EnviaTudo Comércio</v>
      </c>
      <c r="H195" s="2" t="str">
        <f>VLOOKUP(F195,Tabela_1[#ALL],3,0)</f>
        <v>ecommerce</v>
      </c>
      <c r="I195" s="2" t="s">
        <v>91</v>
      </c>
      <c r="J195" s="2">
        <v>1.0</v>
      </c>
      <c r="K195" s="14">
        <v>11354.0</v>
      </c>
      <c r="L195" s="14">
        <v>10137.5</v>
      </c>
      <c r="M195" s="14">
        <v>1216.5</v>
      </c>
      <c r="N195" s="14">
        <v>2874.0</v>
      </c>
      <c r="O195" s="14">
        <f t="shared" si="2"/>
        <v>-1657.5</v>
      </c>
      <c r="P195" s="2" t="s">
        <v>2597</v>
      </c>
    </row>
    <row r="196" ht="22.5" customHeight="1">
      <c r="A196" s="2" t="s">
        <v>910</v>
      </c>
      <c r="B196" s="12">
        <v>46142.0</v>
      </c>
      <c r="C196" s="13" t="str">
        <f t="shared" si="1"/>
        <v>2026-04</v>
      </c>
      <c r="D196" s="12">
        <v>46170.0</v>
      </c>
      <c r="F196" s="2" t="s">
        <v>74</v>
      </c>
      <c r="G196" s="2" t="str">
        <f>VLOOKUP(F196,Tabela_1[#ALL],2,0)</f>
        <v>EnvioFácil</v>
      </c>
      <c r="H196" s="2" t="str">
        <f>VLOOKUP(F196,Tabela_1[#ALL],3,0)</f>
        <v>ecommerce</v>
      </c>
      <c r="I196" s="2" t="s">
        <v>56</v>
      </c>
      <c r="J196" s="2">
        <v>3.0</v>
      </c>
      <c r="K196" s="14">
        <v>20745.2</v>
      </c>
      <c r="L196" s="14">
        <v>18522.5</v>
      </c>
      <c r="M196" s="14">
        <v>2222.7</v>
      </c>
      <c r="N196" s="14">
        <v>1476.0</v>
      </c>
      <c r="O196" s="14">
        <f t="shared" si="2"/>
        <v>746.7</v>
      </c>
      <c r="P196" s="2" t="s">
        <v>2598</v>
      </c>
    </row>
    <row r="197" ht="22.5" customHeight="1">
      <c r="A197" s="2" t="s">
        <v>912</v>
      </c>
      <c r="B197" s="12">
        <v>46142.0</v>
      </c>
      <c r="C197" s="13" t="str">
        <f t="shared" si="1"/>
        <v>2026-04</v>
      </c>
      <c r="D197" s="12">
        <v>46163.0</v>
      </c>
      <c r="E197" s="12">
        <v>46164.0</v>
      </c>
      <c r="F197" s="2" t="s">
        <v>126</v>
      </c>
      <c r="G197" s="2" t="str">
        <f>VLOOKUP(F197,Tabela_1[#ALL],2,0)</f>
        <v>Biolatina Indústria Cooperativa</v>
      </c>
      <c r="H197" s="2" t="str">
        <f>VLOOKUP(F197,Tabela_1[#ALL],3,0)</f>
        <v>farmaceutico</v>
      </c>
      <c r="I197" s="2" t="s">
        <v>43</v>
      </c>
      <c r="J197" s="2">
        <v>1.0</v>
      </c>
      <c r="K197" s="14">
        <v>13494.6</v>
      </c>
      <c r="L197" s="14">
        <v>11311.65</v>
      </c>
      <c r="M197" s="14">
        <v>2182.95</v>
      </c>
      <c r="N197" s="14">
        <v>8557.0</v>
      </c>
      <c r="O197" s="14">
        <f t="shared" si="2"/>
        <v>-6374.05</v>
      </c>
      <c r="P197" s="2" t="s">
        <v>2597</v>
      </c>
    </row>
    <row r="198" ht="22.5" customHeight="1">
      <c r="A198" s="2" t="s">
        <v>916</v>
      </c>
      <c r="B198" s="12">
        <v>46142.0</v>
      </c>
      <c r="C198" s="13" t="str">
        <f t="shared" si="1"/>
        <v>2026-04</v>
      </c>
      <c r="D198" s="12">
        <v>46169.0</v>
      </c>
      <c r="E198" s="12">
        <v>46167.0</v>
      </c>
      <c r="F198" s="2" t="s">
        <v>155</v>
      </c>
      <c r="G198" s="2" t="str">
        <f>VLOOKUP(F198,Tabela_1[#ALL],2,0)</f>
        <v>Nutrigrão ME</v>
      </c>
      <c r="H198" s="2" t="str">
        <f>VLOOKUP(F198,Tabela_1[#ALL],3,0)</f>
        <v>alimenticio</v>
      </c>
      <c r="I198" s="2" t="s">
        <v>39</v>
      </c>
      <c r="J198" s="2">
        <v>3.0</v>
      </c>
      <c r="K198" s="14">
        <v>30760.5</v>
      </c>
      <c r="L198" s="14">
        <v>25500.5</v>
      </c>
      <c r="M198" s="14">
        <v>5260.0</v>
      </c>
      <c r="N198" s="14">
        <v>210.0</v>
      </c>
      <c r="O198" s="14">
        <f t="shared" si="2"/>
        <v>5050</v>
      </c>
      <c r="P198" s="2" t="s">
        <v>2597</v>
      </c>
    </row>
    <row r="199" ht="22.5" customHeight="1">
      <c r="A199" s="2" t="s">
        <v>921</v>
      </c>
      <c r="B199" s="12">
        <v>46142.0</v>
      </c>
      <c r="C199" s="13" t="str">
        <f t="shared" si="1"/>
        <v>2026-04</v>
      </c>
      <c r="D199" s="12">
        <v>46171.0</v>
      </c>
      <c r="E199" s="12">
        <v>46175.0</v>
      </c>
      <c r="F199" s="2" t="s">
        <v>231</v>
      </c>
      <c r="G199" s="2" t="str">
        <f>VLOOKUP(F199,Tabela_1[#ALL],2,0)</f>
        <v>Indústria Caraíbas ME</v>
      </c>
      <c r="H199" s="2" t="str">
        <f>VLOOKUP(F199,Tabela_1[#ALL],3,0)</f>
        <v>alimenticio</v>
      </c>
      <c r="I199" s="2" t="s">
        <v>39</v>
      </c>
      <c r="J199" s="2">
        <v>1.0</v>
      </c>
      <c r="K199" s="14">
        <v>31470.4</v>
      </c>
      <c r="L199" s="14">
        <v>24510.6</v>
      </c>
      <c r="M199" s="14">
        <v>6959.8</v>
      </c>
      <c r="N199" s="14">
        <v>309.0</v>
      </c>
      <c r="O199" s="14">
        <f t="shared" si="2"/>
        <v>6650.8</v>
      </c>
      <c r="P199" s="2" t="s">
        <v>2599</v>
      </c>
    </row>
    <row r="200" ht="22.5" customHeight="1">
      <c r="A200" s="2" t="s">
        <v>924</v>
      </c>
      <c r="B200" s="12">
        <v>46142.0</v>
      </c>
      <c r="C200" s="13" t="str">
        <f t="shared" si="1"/>
        <v>2026-04</v>
      </c>
      <c r="D200" s="12">
        <v>46157.0</v>
      </c>
      <c r="E200" s="12">
        <v>46159.0</v>
      </c>
      <c r="F200" s="2" t="s">
        <v>243</v>
      </c>
      <c r="G200" s="2" t="str">
        <f>VLOOKUP(F200,Tabela_1[#ALL],2,0)</f>
        <v>RotaFácil Comércio</v>
      </c>
      <c r="H200" s="2" t="str">
        <f>VLOOKUP(F200,Tabela_1[#ALL],3,0)</f>
        <v>ecommerce</v>
      </c>
      <c r="I200" s="2" t="s">
        <v>22</v>
      </c>
      <c r="J200" s="2">
        <v>2.0</v>
      </c>
      <c r="K200" s="14">
        <v>6774.6</v>
      </c>
      <c r="L200" s="14">
        <v>5484.2</v>
      </c>
      <c r="M200" s="14">
        <v>1290.4</v>
      </c>
      <c r="N200" s="14">
        <v>651.0</v>
      </c>
      <c r="O200" s="14">
        <f t="shared" si="2"/>
        <v>639.4</v>
      </c>
      <c r="P200" s="2" t="s">
        <v>2597</v>
      </c>
    </row>
    <row r="201" ht="22.5" customHeight="1">
      <c r="A201" s="2" t="s">
        <v>927</v>
      </c>
      <c r="B201" s="12">
        <v>46142.0</v>
      </c>
      <c r="C201" s="13" t="str">
        <f t="shared" si="1"/>
        <v>2026-04</v>
      </c>
      <c r="D201" s="12">
        <v>46161.0</v>
      </c>
      <c r="E201" s="12">
        <v>46167.0</v>
      </c>
      <c r="F201" s="2" t="s">
        <v>247</v>
      </c>
      <c r="G201" s="2" t="str">
        <f>VLOOKUP(F201,Tabela_1[#ALL],2,0)</f>
        <v>MedPlus Indústria Cooperativa</v>
      </c>
      <c r="H201" s="2" t="str">
        <f>VLOOKUP(F201,Tabela_1[#ALL],3,0)</f>
        <v>farmaceutico</v>
      </c>
      <c r="I201" s="2" t="s">
        <v>49</v>
      </c>
      <c r="J201" s="2">
        <v>3.0</v>
      </c>
      <c r="K201" s="14">
        <v>11149.2</v>
      </c>
      <c r="L201" s="14">
        <v>9552.2</v>
      </c>
      <c r="M201" s="14">
        <v>1597.0</v>
      </c>
      <c r="N201" s="14">
        <v>1210.0</v>
      </c>
      <c r="O201" s="14">
        <f t="shared" si="2"/>
        <v>387</v>
      </c>
      <c r="P201" s="2" t="s">
        <v>2599</v>
      </c>
    </row>
    <row r="202" ht="22.5" customHeight="1">
      <c r="A202" s="2" t="s">
        <v>930</v>
      </c>
      <c r="B202" s="12">
        <v>46143.0</v>
      </c>
      <c r="C202" s="13" t="str">
        <f t="shared" si="1"/>
        <v>2026-05</v>
      </c>
      <c r="D202" s="12">
        <v>46171.0</v>
      </c>
      <c r="E202" s="12">
        <v>46169.0</v>
      </c>
      <c r="F202" s="2" t="s">
        <v>61</v>
      </c>
      <c r="G202" s="2" t="str">
        <f>VLOOKUP(F202,Tabela_1[#ALL],2,0)</f>
        <v>Mercosul Atacado</v>
      </c>
      <c r="H202" s="2" t="str">
        <f>VLOOKUP(F202,Tabela_1[#ALL],3,0)</f>
        <v>distribuidor</v>
      </c>
      <c r="I202" s="2" t="s">
        <v>39</v>
      </c>
      <c r="J202" s="2">
        <v>1.0</v>
      </c>
      <c r="K202" s="14">
        <v>50685.6</v>
      </c>
      <c r="L202" s="14">
        <v>45255.0</v>
      </c>
      <c r="M202" s="14">
        <v>5430.6</v>
      </c>
      <c r="N202" s="14">
        <v>4108.0</v>
      </c>
      <c r="O202" s="14">
        <f t="shared" si="2"/>
        <v>1322.6</v>
      </c>
      <c r="P202" s="2" t="s">
        <v>2597</v>
      </c>
    </row>
    <row r="203" ht="22.5" customHeight="1">
      <c r="A203" s="2" t="s">
        <v>931</v>
      </c>
      <c r="B203" s="12">
        <v>46143.0</v>
      </c>
      <c r="C203" s="13" t="str">
        <f t="shared" si="1"/>
        <v>2026-05</v>
      </c>
      <c r="D203" s="12">
        <v>46175.0</v>
      </c>
      <c r="E203" s="12">
        <v>46176.0</v>
      </c>
      <c r="F203" s="2" t="s">
        <v>64</v>
      </c>
      <c r="G203" s="2" t="str">
        <f>VLOOKUP(F203,Tabela_1[#ALL],2,0)</f>
        <v>Aromatic</v>
      </c>
      <c r="H203" s="2" t="str">
        <f>VLOOKUP(F203,Tabela_1[#ALL],3,0)</f>
        <v>cosmetico</v>
      </c>
      <c r="I203" s="2" t="s">
        <v>56</v>
      </c>
      <c r="J203" s="2">
        <v>1.0</v>
      </c>
      <c r="K203" s="14">
        <v>54529.2</v>
      </c>
      <c r="L203" s="14">
        <v>45708.3</v>
      </c>
      <c r="M203" s="14">
        <v>8820.9</v>
      </c>
      <c r="N203" s="14">
        <v>8730.0</v>
      </c>
      <c r="O203" s="14">
        <f t="shared" si="2"/>
        <v>90.9</v>
      </c>
      <c r="P203" s="2" t="s">
        <v>2597</v>
      </c>
    </row>
    <row r="204" ht="22.5" customHeight="1">
      <c r="A204" s="2" t="s">
        <v>934</v>
      </c>
      <c r="B204" s="12">
        <v>46143.0</v>
      </c>
      <c r="C204" s="13" t="str">
        <f t="shared" si="1"/>
        <v>2026-05</v>
      </c>
      <c r="D204" s="12">
        <v>46158.0</v>
      </c>
      <c r="E204" s="12">
        <v>46156.0</v>
      </c>
      <c r="F204" s="2" t="s">
        <v>130</v>
      </c>
      <c r="G204" s="2" t="str">
        <f>VLOOKUP(F204,Tabela_1[#ALL],2,0)</f>
        <v>PackExpress Cooperativa</v>
      </c>
      <c r="H204" s="2" t="str">
        <f>VLOOKUP(F204,Tabela_1[#ALL],3,0)</f>
        <v>ecommerce</v>
      </c>
      <c r="I204" s="2" t="s">
        <v>39</v>
      </c>
      <c r="J204" s="2">
        <v>2.0</v>
      </c>
      <c r="K204" s="14">
        <v>14805.0</v>
      </c>
      <c r="L204" s="14">
        <v>11985.0</v>
      </c>
      <c r="M204" s="14">
        <v>2820.0</v>
      </c>
      <c r="N204" s="14">
        <v>2396.0</v>
      </c>
      <c r="O204" s="14">
        <f t="shared" si="2"/>
        <v>424</v>
      </c>
      <c r="P204" s="2" t="s">
        <v>2597</v>
      </c>
    </row>
    <row r="205" ht="22.5" customHeight="1">
      <c r="A205" s="2" t="s">
        <v>937</v>
      </c>
      <c r="B205" s="12">
        <v>46143.0</v>
      </c>
      <c r="C205" s="13" t="str">
        <f t="shared" si="1"/>
        <v>2026-05</v>
      </c>
      <c r="D205" s="12">
        <v>46160.0</v>
      </c>
      <c r="F205" s="2" t="s">
        <v>143</v>
      </c>
      <c r="G205" s="2" t="str">
        <f>VLOOKUP(F205,Tabela_1[#ALL],2,0)</f>
        <v>Rede Vita ME</v>
      </c>
      <c r="H205" s="2" t="str">
        <f>VLOOKUP(F205,Tabela_1[#ALL],3,0)</f>
        <v>varejo</v>
      </c>
      <c r="I205" s="2" t="s">
        <v>91</v>
      </c>
      <c r="J205" s="2">
        <v>1.0</v>
      </c>
      <c r="K205" s="14">
        <v>4649.4</v>
      </c>
      <c r="L205" s="14">
        <v>3763.8</v>
      </c>
      <c r="M205" s="14">
        <v>885.6</v>
      </c>
      <c r="N205" s="14">
        <v>4698.0</v>
      </c>
      <c r="O205" s="14">
        <f t="shared" si="2"/>
        <v>-3812.4</v>
      </c>
      <c r="P205" s="2" t="s">
        <v>2601</v>
      </c>
    </row>
    <row r="206" ht="22.5" customHeight="1">
      <c r="A206" s="2" t="s">
        <v>939</v>
      </c>
      <c r="B206" s="12">
        <v>46143.0</v>
      </c>
      <c r="C206" s="13" t="str">
        <f t="shared" si="1"/>
        <v>2026-05</v>
      </c>
      <c r="D206" s="12">
        <v>46164.0</v>
      </c>
      <c r="F206" s="2" t="s">
        <v>163</v>
      </c>
      <c r="G206" s="2" t="str">
        <f>VLOOKUP(F206,Tabela_1[#ALL],2,0)</f>
        <v>RotaFácil S.A.</v>
      </c>
      <c r="H206" s="2" t="str">
        <f>VLOOKUP(F206,Tabela_1[#ALL],3,0)</f>
        <v>ecommerce</v>
      </c>
      <c r="I206" s="2" t="s">
        <v>39</v>
      </c>
      <c r="J206" s="2">
        <v>3.0</v>
      </c>
      <c r="K206" s="14">
        <v>3046.8</v>
      </c>
      <c r="L206" s="14">
        <v>2441.2</v>
      </c>
      <c r="M206" s="14">
        <v>605.6</v>
      </c>
      <c r="N206" s="14">
        <v>1639.0</v>
      </c>
      <c r="O206" s="14">
        <f t="shared" si="2"/>
        <v>-1033.4</v>
      </c>
      <c r="P206" s="2" t="s">
        <v>2598</v>
      </c>
    </row>
    <row r="207" ht="22.5" customHeight="1">
      <c r="A207" s="2" t="s">
        <v>945</v>
      </c>
      <c r="B207" s="12">
        <v>46143.0</v>
      </c>
      <c r="C207" s="13" t="str">
        <f t="shared" si="1"/>
        <v>2026-05</v>
      </c>
      <c r="D207" s="12">
        <v>46172.0</v>
      </c>
      <c r="E207" s="12">
        <v>46170.0</v>
      </c>
      <c r="F207" s="2" t="s">
        <v>169</v>
      </c>
      <c r="G207" s="2" t="str">
        <f>VLOOKUP(F207,Tabela_1[#ALL],2,0)</f>
        <v>Supermercados Vivo EPP</v>
      </c>
      <c r="H207" s="2" t="str">
        <f>VLOOKUP(F207,Tabela_1[#ALL],3,0)</f>
        <v>varejo</v>
      </c>
      <c r="I207" s="2" t="s">
        <v>91</v>
      </c>
      <c r="J207" s="2">
        <v>1.0</v>
      </c>
      <c r="K207" s="14">
        <v>12412.4</v>
      </c>
      <c r="L207" s="14">
        <v>11082.5</v>
      </c>
      <c r="M207" s="14">
        <v>1329.9</v>
      </c>
      <c r="N207" s="14">
        <v>769.0</v>
      </c>
      <c r="O207" s="14">
        <f t="shared" si="2"/>
        <v>560.9</v>
      </c>
      <c r="P207" s="2" t="s">
        <v>2597</v>
      </c>
    </row>
    <row r="208" ht="22.5" customHeight="1">
      <c r="A208" s="2" t="s">
        <v>949</v>
      </c>
      <c r="B208" s="12">
        <v>46143.0</v>
      </c>
      <c r="C208" s="13" t="str">
        <f t="shared" si="1"/>
        <v>2026-05</v>
      </c>
      <c r="D208" s="12">
        <v>46159.0</v>
      </c>
      <c r="F208" s="2" t="s">
        <v>197</v>
      </c>
      <c r="G208" s="2" t="str">
        <f>VLOOKUP(F208,Tabela_1[#ALL],2,0)</f>
        <v>Sabor Forte Alimentos Indústria</v>
      </c>
      <c r="H208" s="2" t="str">
        <f>VLOOKUP(F208,Tabela_1[#ALL],3,0)</f>
        <v>alimenticio</v>
      </c>
      <c r="I208" s="2" t="s">
        <v>49</v>
      </c>
      <c r="J208" s="2">
        <v>1.0</v>
      </c>
      <c r="K208" s="14">
        <v>19467.5</v>
      </c>
      <c r="L208" s="14">
        <v>15274.5</v>
      </c>
      <c r="M208" s="14">
        <v>4193.0</v>
      </c>
      <c r="N208" s="14">
        <v>1645.0</v>
      </c>
      <c r="O208" s="14">
        <f t="shared" si="2"/>
        <v>2548</v>
      </c>
      <c r="P208" s="2" t="s">
        <v>2600</v>
      </c>
    </row>
    <row r="209" ht="22.5" customHeight="1">
      <c r="A209" s="2" t="s">
        <v>952</v>
      </c>
      <c r="B209" s="12">
        <v>46143.0</v>
      </c>
      <c r="C209" s="13" t="str">
        <f t="shared" si="1"/>
        <v>2026-05</v>
      </c>
      <c r="D209" s="12">
        <v>46162.0</v>
      </c>
      <c r="E209" s="12">
        <v>46167.0</v>
      </c>
      <c r="F209" s="2" t="s">
        <v>207</v>
      </c>
      <c r="G209" s="2" t="str">
        <f>VLOOKUP(F209,Tabela_1[#ALL],2,0)</f>
        <v>Granoma Alimentos Cooperativa</v>
      </c>
      <c r="H209" s="2" t="str">
        <f>VLOOKUP(F209,Tabela_1[#ALL],3,0)</f>
        <v>alimenticio</v>
      </c>
      <c r="I209" s="2" t="s">
        <v>39</v>
      </c>
      <c r="J209" s="2">
        <v>3.0</v>
      </c>
      <c r="K209" s="14">
        <v>12066.6</v>
      </c>
      <c r="L209" s="14">
        <v>10114.65</v>
      </c>
      <c r="M209" s="14">
        <v>1951.95</v>
      </c>
      <c r="N209" s="14">
        <v>5083.0</v>
      </c>
      <c r="O209" s="14">
        <f t="shared" si="2"/>
        <v>-3131.05</v>
      </c>
      <c r="P209" s="2" t="s">
        <v>2597</v>
      </c>
    </row>
    <row r="210" ht="22.5" customHeight="1">
      <c r="A210" s="2" t="s">
        <v>955</v>
      </c>
      <c r="B210" s="12">
        <v>46143.0</v>
      </c>
      <c r="C210" s="13" t="str">
        <f t="shared" si="1"/>
        <v>2026-05</v>
      </c>
      <c r="D210" s="12">
        <v>46165.0</v>
      </c>
      <c r="E210" s="12">
        <v>46165.0</v>
      </c>
      <c r="F210" s="2" t="s">
        <v>211</v>
      </c>
      <c r="G210" s="2" t="str">
        <f>VLOOKUP(F210,Tabela_1[#ALL],2,0)</f>
        <v>PackExpress S.A.</v>
      </c>
      <c r="H210" s="2" t="str">
        <f>VLOOKUP(F210,Tabela_1[#ALL],3,0)</f>
        <v>ecommerce</v>
      </c>
      <c r="I210" s="2" t="s">
        <v>91</v>
      </c>
      <c r="J210" s="2">
        <v>3.0</v>
      </c>
      <c r="K210" s="14">
        <v>2967.6</v>
      </c>
      <c r="L210" s="14">
        <v>2542.7</v>
      </c>
      <c r="M210" s="14">
        <v>424.9</v>
      </c>
      <c r="N210" s="14">
        <v>610.0</v>
      </c>
      <c r="O210" s="14">
        <f t="shared" si="2"/>
        <v>-185.1</v>
      </c>
      <c r="P210" s="2" t="s">
        <v>2597</v>
      </c>
    </row>
    <row r="211" ht="22.5" customHeight="1">
      <c r="A211" s="2" t="s">
        <v>963</v>
      </c>
      <c r="B211" s="12">
        <v>46143.0</v>
      </c>
      <c r="C211" s="13" t="str">
        <f t="shared" si="1"/>
        <v>2026-05</v>
      </c>
      <c r="D211" s="12">
        <v>46170.0</v>
      </c>
      <c r="E211" s="12">
        <v>46172.0</v>
      </c>
      <c r="F211" s="2" t="s">
        <v>245</v>
      </c>
      <c r="G211" s="2" t="str">
        <f>VLOOKUP(F211,Tabela_1[#ALL],2,0)</f>
        <v>Laticínios Boa Vista ME</v>
      </c>
      <c r="H211" s="2" t="str">
        <f>VLOOKUP(F211,Tabela_1[#ALL],3,0)</f>
        <v>alimenticio</v>
      </c>
      <c r="I211" s="2" t="s">
        <v>22</v>
      </c>
      <c r="J211" s="2">
        <v>2.0</v>
      </c>
      <c r="K211" s="14">
        <v>6018.0</v>
      </c>
      <c r="L211" s="14">
        <v>4513.5</v>
      </c>
      <c r="M211" s="14">
        <v>1504.5</v>
      </c>
      <c r="N211" s="14">
        <v>3429.0</v>
      </c>
      <c r="O211" s="14">
        <f t="shared" si="2"/>
        <v>-1924.5</v>
      </c>
      <c r="P211" s="2" t="s">
        <v>2597</v>
      </c>
    </row>
    <row r="212" ht="22.5" customHeight="1">
      <c r="A212" s="2" t="s">
        <v>966</v>
      </c>
      <c r="B212" s="12">
        <v>46143.0</v>
      </c>
      <c r="C212" s="13" t="str">
        <f t="shared" si="1"/>
        <v>2026-05</v>
      </c>
      <c r="D212" s="12">
        <v>46168.0</v>
      </c>
      <c r="E212" s="12">
        <v>46183.0</v>
      </c>
      <c r="F212" s="2" t="s">
        <v>249</v>
      </c>
      <c r="G212" s="2" t="str">
        <f>VLOOKUP(F212,Tabela_1[#ALL],2,0)</f>
        <v>Distrib. Litoral Sul EPP</v>
      </c>
      <c r="H212" s="2" t="str">
        <f>VLOOKUP(F212,Tabela_1[#ALL],3,0)</f>
        <v>distribuidor</v>
      </c>
      <c r="I212" s="2" t="s">
        <v>91</v>
      </c>
      <c r="J212" s="2">
        <v>3.0</v>
      </c>
      <c r="K212" s="14">
        <v>15493.0</v>
      </c>
      <c r="L212" s="14">
        <v>12413.4</v>
      </c>
      <c r="M212" s="14">
        <v>3079.6</v>
      </c>
      <c r="N212" s="14">
        <v>2345.0</v>
      </c>
      <c r="O212" s="14">
        <f t="shared" si="2"/>
        <v>734.6</v>
      </c>
      <c r="P212" s="2" t="s">
        <v>2599</v>
      </c>
    </row>
    <row r="213" ht="22.5" customHeight="1">
      <c r="A213" s="2" t="s">
        <v>968</v>
      </c>
      <c r="B213" s="12">
        <v>46144.0</v>
      </c>
      <c r="C213" s="13" t="str">
        <f t="shared" si="1"/>
        <v>2026-05</v>
      </c>
      <c r="D213" s="12">
        <v>46163.0</v>
      </c>
      <c r="E213" s="12">
        <v>46170.0</v>
      </c>
      <c r="F213" s="2" t="s">
        <v>19</v>
      </c>
      <c r="G213" s="2" t="str">
        <f>VLOOKUP(F213,Tabela_1[#ALL],2,0)</f>
        <v>NorteAgro</v>
      </c>
      <c r="H213" s="2" t="str">
        <f>VLOOKUP(F213,Tabela_1[#ALL],3,0)</f>
        <v>alimenticio</v>
      </c>
      <c r="I213" s="2" t="s">
        <v>22</v>
      </c>
      <c r="J213" s="2">
        <v>2.0</v>
      </c>
      <c r="K213" s="14">
        <v>132188.0</v>
      </c>
      <c r="L213" s="14">
        <v>106879.5</v>
      </c>
      <c r="M213" s="14">
        <v>25308.5</v>
      </c>
      <c r="N213" s="14">
        <v>10314.0</v>
      </c>
      <c r="O213" s="14">
        <f t="shared" si="2"/>
        <v>14994.5</v>
      </c>
      <c r="P213" s="2" t="s">
        <v>2597</v>
      </c>
    </row>
    <row r="214" ht="22.5" customHeight="1">
      <c r="A214" s="2" t="s">
        <v>971</v>
      </c>
      <c r="B214" s="12">
        <v>46144.0</v>
      </c>
      <c r="C214" s="13" t="str">
        <f t="shared" si="1"/>
        <v>2026-05</v>
      </c>
      <c r="D214" s="12">
        <v>46159.0</v>
      </c>
      <c r="E214" s="12">
        <v>46162.0</v>
      </c>
      <c r="F214" s="2" t="s">
        <v>40</v>
      </c>
      <c r="G214" s="2" t="str">
        <f>VLOOKUP(F214,Tabela_1[#ALL],2,0)</f>
        <v>Farmavida</v>
      </c>
      <c r="H214" s="2" t="str">
        <f>VLOOKUP(F214,Tabela_1[#ALL],3,0)</f>
        <v>farmaceutico</v>
      </c>
      <c r="I214" s="2" t="s">
        <v>43</v>
      </c>
      <c r="J214" s="2">
        <v>2.0</v>
      </c>
      <c r="K214" s="14">
        <v>37408.8</v>
      </c>
      <c r="L214" s="14">
        <v>29135.7</v>
      </c>
      <c r="M214" s="14">
        <v>8273.1</v>
      </c>
      <c r="N214" s="14">
        <v>8298.0</v>
      </c>
      <c r="O214" s="14">
        <f t="shared" si="2"/>
        <v>-24.9</v>
      </c>
      <c r="P214" s="2" t="s">
        <v>2599</v>
      </c>
    </row>
    <row r="215" ht="22.5" customHeight="1">
      <c r="A215" s="2" t="s">
        <v>975</v>
      </c>
      <c r="B215" s="12">
        <v>46144.0</v>
      </c>
      <c r="C215" s="13" t="str">
        <f t="shared" si="1"/>
        <v>2026-05</v>
      </c>
      <c r="D215" s="12">
        <v>46165.0</v>
      </c>
      <c r="E215" s="12">
        <v>46162.0</v>
      </c>
      <c r="F215" s="2" t="s">
        <v>51</v>
      </c>
      <c r="G215" s="2" t="str">
        <f>VLOOKUP(F215,Tabela_1[#ALL],2,0)</f>
        <v>LogiPack</v>
      </c>
      <c r="H215" s="2" t="str">
        <f>VLOOKUP(F215,Tabela_1[#ALL],3,0)</f>
        <v>logistica</v>
      </c>
      <c r="I215" s="2" t="s">
        <v>56</v>
      </c>
      <c r="J215" s="2">
        <v>2.0</v>
      </c>
      <c r="K215" s="14">
        <v>60673.2</v>
      </c>
      <c r="L215" s="14">
        <v>49116.4</v>
      </c>
      <c r="M215" s="14">
        <v>11556.8</v>
      </c>
      <c r="N215" s="14">
        <v>1595.0</v>
      </c>
      <c r="O215" s="14">
        <f t="shared" si="2"/>
        <v>9961.8</v>
      </c>
      <c r="P215" s="2" t="s">
        <v>2597</v>
      </c>
    </row>
    <row r="216" ht="22.5" customHeight="1">
      <c r="A216" s="2" t="s">
        <v>978</v>
      </c>
      <c r="B216" s="12">
        <v>46144.0</v>
      </c>
      <c r="C216" s="13" t="str">
        <f t="shared" si="1"/>
        <v>2026-05</v>
      </c>
      <c r="D216" s="12">
        <v>46179.0</v>
      </c>
      <c r="E216" s="12">
        <v>46178.0</v>
      </c>
      <c r="F216" s="2" t="s">
        <v>66</v>
      </c>
      <c r="G216" s="2" t="str">
        <f>VLOOKUP(F216,Tabela_1[#ALL],2,0)</f>
        <v>Vale Norte Atacarejo</v>
      </c>
      <c r="H216" s="2" t="str">
        <f>VLOOKUP(F216,Tabela_1[#ALL],3,0)</f>
        <v>varejo</v>
      </c>
      <c r="I216" s="2" t="s">
        <v>22</v>
      </c>
      <c r="J216" s="2">
        <v>2.0</v>
      </c>
      <c r="K216" s="14">
        <v>122147.6</v>
      </c>
      <c r="L216" s="14">
        <v>102449.6</v>
      </c>
      <c r="M216" s="14">
        <v>19698.0</v>
      </c>
      <c r="N216" s="14">
        <v>1517.0</v>
      </c>
      <c r="O216" s="14">
        <f t="shared" si="2"/>
        <v>18181</v>
      </c>
      <c r="P216" s="2" t="s">
        <v>2597</v>
      </c>
    </row>
    <row r="217" ht="22.5" customHeight="1">
      <c r="A217" s="2" t="s">
        <v>982</v>
      </c>
      <c r="B217" s="12">
        <v>46144.0</v>
      </c>
      <c r="C217" s="13" t="str">
        <f t="shared" si="1"/>
        <v>2026-05</v>
      </c>
      <c r="D217" s="12">
        <v>46164.0</v>
      </c>
      <c r="E217" s="12">
        <v>46163.0</v>
      </c>
      <c r="F217" s="2" t="s">
        <v>153</v>
      </c>
      <c r="G217" s="2" t="str">
        <f>VLOOKUP(F217,Tabela_1[#ALL],2,0)</f>
        <v>Mercatto S.A.</v>
      </c>
      <c r="H217" s="2" t="str">
        <f>VLOOKUP(F217,Tabela_1[#ALL],3,0)</f>
        <v>varejo</v>
      </c>
      <c r="I217" s="2" t="s">
        <v>91</v>
      </c>
      <c r="J217" s="2">
        <v>1.0</v>
      </c>
      <c r="K217" s="14">
        <v>8716.4</v>
      </c>
      <c r="L217" s="14">
        <v>7782.5</v>
      </c>
      <c r="M217" s="14">
        <v>933.9</v>
      </c>
      <c r="N217" s="14">
        <v>1187.0</v>
      </c>
      <c r="O217" s="14">
        <f t="shared" si="2"/>
        <v>-253.1</v>
      </c>
      <c r="P217" s="2" t="s">
        <v>2597</v>
      </c>
    </row>
    <row r="218" ht="22.5" customHeight="1">
      <c r="A218" s="2" t="s">
        <v>984</v>
      </c>
      <c r="B218" s="12">
        <v>46144.0</v>
      </c>
      <c r="C218" s="13" t="str">
        <f t="shared" si="1"/>
        <v>2026-05</v>
      </c>
      <c r="D218" s="12">
        <v>46174.0</v>
      </c>
      <c r="E218" s="12">
        <v>46175.0</v>
      </c>
      <c r="F218" s="2" t="s">
        <v>235</v>
      </c>
      <c r="G218" s="2" t="str">
        <f>VLOOKUP(F218,Tabela_1[#ALL],2,0)</f>
        <v>Saúde Total Labs Comércio</v>
      </c>
      <c r="H218" s="2" t="str">
        <f>VLOOKUP(F218,Tabela_1[#ALL],3,0)</f>
        <v>farmaceutico</v>
      </c>
      <c r="I218" s="2" t="s">
        <v>39</v>
      </c>
      <c r="J218" s="2">
        <v>2.0</v>
      </c>
      <c r="K218" s="14">
        <v>10325.8</v>
      </c>
      <c r="L218" s="14">
        <v>8655.45</v>
      </c>
      <c r="M218" s="14">
        <v>1670.35</v>
      </c>
      <c r="N218" s="14">
        <v>98.0</v>
      </c>
      <c r="O218" s="14">
        <f t="shared" si="2"/>
        <v>1572.35</v>
      </c>
      <c r="P218" s="2" t="s">
        <v>2597</v>
      </c>
    </row>
    <row r="219" ht="22.5" customHeight="1">
      <c r="A219" s="2" t="s">
        <v>988</v>
      </c>
      <c r="B219" s="12">
        <v>46144.0</v>
      </c>
      <c r="C219" s="13" t="str">
        <f t="shared" si="1"/>
        <v>2026-05</v>
      </c>
      <c r="D219" s="12">
        <v>46177.0</v>
      </c>
      <c r="E219" s="12">
        <v>46183.0</v>
      </c>
      <c r="F219" s="2" t="s">
        <v>237</v>
      </c>
      <c r="G219" s="2" t="str">
        <f>VLOOKUP(F219,Tabela_1[#ALL],2,0)</f>
        <v>Sabor Forte Alimentos Comércio</v>
      </c>
      <c r="H219" s="2" t="str">
        <f>VLOOKUP(F219,Tabela_1[#ALL],3,0)</f>
        <v>alimenticio</v>
      </c>
      <c r="I219" s="2" t="s">
        <v>22</v>
      </c>
      <c r="J219" s="2">
        <v>1.0</v>
      </c>
      <c r="K219" s="14">
        <v>3481.8</v>
      </c>
      <c r="L219" s="14">
        <v>2818.6</v>
      </c>
      <c r="M219" s="14">
        <v>663.2</v>
      </c>
      <c r="N219" s="14">
        <v>1383.0</v>
      </c>
      <c r="O219" s="14">
        <f t="shared" si="2"/>
        <v>-719.8</v>
      </c>
      <c r="P219" s="2" t="s">
        <v>2599</v>
      </c>
    </row>
    <row r="220" ht="22.5" customHeight="1">
      <c r="A220" s="2" t="s">
        <v>990</v>
      </c>
      <c r="B220" s="12">
        <v>46145.0</v>
      </c>
      <c r="C220" s="13" t="str">
        <f t="shared" si="1"/>
        <v>2026-05</v>
      </c>
      <c r="D220" s="12">
        <v>46180.0</v>
      </c>
      <c r="E220" s="12">
        <v>46181.0</v>
      </c>
      <c r="F220" s="2" t="s">
        <v>10</v>
      </c>
      <c r="G220" s="2" t="str">
        <f>VLOOKUP(F220,Tabela_1[#ALL],2,0)</f>
        <v>AgroMar</v>
      </c>
      <c r="H220" s="2" t="str">
        <f>VLOOKUP(F220,Tabela_1[#ALL],3,0)</f>
        <v>alimenticio</v>
      </c>
      <c r="I220" s="2" t="s">
        <v>16</v>
      </c>
      <c r="J220" s="2">
        <v>1.0</v>
      </c>
      <c r="K220" s="14">
        <v>258564.8</v>
      </c>
      <c r="L220" s="14">
        <v>201382.2</v>
      </c>
      <c r="M220" s="14">
        <v>57182.6</v>
      </c>
      <c r="N220" s="14">
        <v>9591.0</v>
      </c>
      <c r="O220" s="14">
        <f t="shared" si="2"/>
        <v>47591.6</v>
      </c>
      <c r="P220" s="2" t="s">
        <v>2597</v>
      </c>
    </row>
    <row r="221" ht="22.5" customHeight="1">
      <c r="A221" s="2" t="s">
        <v>994</v>
      </c>
      <c r="B221" s="12">
        <v>46145.0</v>
      </c>
      <c r="C221" s="13" t="str">
        <f t="shared" si="1"/>
        <v>2026-05</v>
      </c>
      <c r="D221" s="12">
        <v>46165.0</v>
      </c>
      <c r="E221" s="12">
        <v>46165.0</v>
      </c>
      <c r="F221" s="2" t="s">
        <v>23</v>
      </c>
      <c r="G221" s="2" t="str">
        <f>VLOOKUP(F221,Tabela_1[#ALL],2,0)</f>
        <v>Nova Era Cosméticos</v>
      </c>
      <c r="H221" s="2" t="str">
        <f>VLOOKUP(F221,Tabela_1[#ALL],3,0)</f>
        <v>cosmetico</v>
      </c>
      <c r="I221" s="2" t="s">
        <v>22</v>
      </c>
      <c r="J221" s="2">
        <v>2.0</v>
      </c>
      <c r="K221" s="14">
        <v>92106.0</v>
      </c>
      <c r="L221" s="14">
        <v>69079.5</v>
      </c>
      <c r="M221" s="14">
        <v>23026.5</v>
      </c>
      <c r="N221" s="14">
        <v>6576.0</v>
      </c>
      <c r="O221" s="14">
        <f t="shared" si="2"/>
        <v>16450.5</v>
      </c>
      <c r="P221" s="2" t="s">
        <v>2597</v>
      </c>
    </row>
    <row r="222" ht="22.5" customHeight="1">
      <c r="A222" s="2" t="s">
        <v>1001</v>
      </c>
      <c r="B222" s="12">
        <v>46145.0</v>
      </c>
      <c r="C222" s="13" t="str">
        <f t="shared" si="1"/>
        <v>2026-05</v>
      </c>
      <c r="D222" s="12">
        <v>46178.0</v>
      </c>
      <c r="F222" s="2" t="s">
        <v>106</v>
      </c>
      <c r="G222" s="2" t="str">
        <f>VLOOKUP(F222,Tabela_1[#ALL],2,0)</f>
        <v>DistribuPlus</v>
      </c>
      <c r="H222" s="2" t="str">
        <f>VLOOKUP(F222,Tabela_1[#ALL],3,0)</f>
        <v>distribuidor</v>
      </c>
      <c r="I222" s="2" t="s">
        <v>22</v>
      </c>
      <c r="J222" s="2">
        <v>3.0</v>
      </c>
      <c r="K222" s="14">
        <v>7095.2</v>
      </c>
      <c r="L222" s="14">
        <v>5822.8</v>
      </c>
      <c r="M222" s="14">
        <v>1272.4</v>
      </c>
      <c r="N222" s="14">
        <v>2791.0</v>
      </c>
      <c r="O222" s="14">
        <f t="shared" si="2"/>
        <v>-1518.6</v>
      </c>
      <c r="P222" s="2" t="s">
        <v>2598</v>
      </c>
    </row>
    <row r="223" ht="22.5" customHeight="1">
      <c r="A223" s="2" t="s">
        <v>1005</v>
      </c>
      <c r="B223" s="12">
        <v>46145.0</v>
      </c>
      <c r="C223" s="13" t="str">
        <f t="shared" si="1"/>
        <v>2026-05</v>
      </c>
      <c r="D223" s="12">
        <v>46172.0</v>
      </c>
      <c r="E223" s="12">
        <v>46172.0</v>
      </c>
      <c r="F223" s="2" t="s">
        <v>126</v>
      </c>
      <c r="G223" s="2" t="str">
        <f>VLOOKUP(F223,Tabela_1[#ALL],2,0)</f>
        <v>Biolatina Indústria Cooperativa</v>
      </c>
      <c r="H223" s="2" t="str">
        <f>VLOOKUP(F223,Tabela_1[#ALL],3,0)</f>
        <v>farmaceutico</v>
      </c>
      <c r="I223" s="2" t="s">
        <v>43</v>
      </c>
      <c r="J223" s="2">
        <v>1.0</v>
      </c>
      <c r="K223" s="14">
        <v>47051.6</v>
      </c>
      <c r="L223" s="14">
        <v>35575.6</v>
      </c>
      <c r="M223" s="14">
        <v>11476.0</v>
      </c>
      <c r="N223" s="14">
        <v>8659.0</v>
      </c>
      <c r="O223" s="14">
        <f t="shared" si="2"/>
        <v>2817</v>
      </c>
      <c r="P223" s="2" t="s">
        <v>2597</v>
      </c>
    </row>
    <row r="224" ht="22.5" customHeight="1">
      <c r="A224" s="2" t="s">
        <v>1008</v>
      </c>
      <c r="B224" s="12">
        <v>46145.0</v>
      </c>
      <c r="C224" s="13" t="str">
        <f t="shared" si="1"/>
        <v>2026-05</v>
      </c>
      <c r="D224" s="12">
        <v>46177.0</v>
      </c>
      <c r="E224" s="12">
        <v>46176.0</v>
      </c>
      <c r="F224" s="2" t="s">
        <v>145</v>
      </c>
      <c r="G224" s="2" t="str">
        <f>VLOOKUP(F224,Tabela_1[#ALL],2,0)</f>
        <v>Mercado Vale Ltda</v>
      </c>
      <c r="H224" s="2" t="str">
        <f>VLOOKUP(F224,Tabela_1[#ALL],3,0)</f>
        <v>varejo</v>
      </c>
      <c r="I224" s="2" t="s">
        <v>91</v>
      </c>
      <c r="J224" s="2">
        <v>2.0</v>
      </c>
      <c r="K224" s="14">
        <v>2562.0</v>
      </c>
      <c r="L224" s="14">
        <v>2074.0</v>
      </c>
      <c r="M224" s="14">
        <v>488.0</v>
      </c>
      <c r="N224" s="14">
        <v>2015.0</v>
      </c>
      <c r="O224" s="14">
        <f t="shared" si="2"/>
        <v>-1527</v>
      </c>
      <c r="P224" s="2" t="s">
        <v>2597</v>
      </c>
    </row>
    <row r="225" ht="22.5" customHeight="1">
      <c r="A225" s="2" t="s">
        <v>1009</v>
      </c>
      <c r="B225" s="12">
        <v>46145.0</v>
      </c>
      <c r="C225" s="13" t="str">
        <f t="shared" si="1"/>
        <v>2026-05</v>
      </c>
      <c r="D225" s="12">
        <v>46168.0</v>
      </c>
      <c r="E225" s="12">
        <v>46167.0</v>
      </c>
      <c r="F225" s="2" t="s">
        <v>157</v>
      </c>
      <c r="G225" s="2" t="str">
        <f>VLOOKUP(F225,Tabela_1[#ALL],2,0)</f>
        <v>Mercosul Comércio EPP</v>
      </c>
      <c r="H225" s="2" t="str">
        <f>VLOOKUP(F225,Tabela_1[#ALL],3,0)</f>
        <v>distribuidor</v>
      </c>
      <c r="I225" s="2" t="s">
        <v>49</v>
      </c>
      <c r="J225" s="2">
        <v>1.0</v>
      </c>
      <c r="K225" s="14">
        <v>8094.8</v>
      </c>
      <c r="L225" s="14">
        <v>7227.5</v>
      </c>
      <c r="M225" s="14">
        <v>867.3</v>
      </c>
      <c r="N225" s="14">
        <v>1489.0</v>
      </c>
      <c r="O225" s="14">
        <f t="shared" si="2"/>
        <v>-621.7</v>
      </c>
      <c r="P225" s="2" t="s">
        <v>2597</v>
      </c>
    </row>
    <row r="226" ht="22.5" customHeight="1">
      <c r="A226" s="2" t="s">
        <v>1011</v>
      </c>
      <c r="B226" s="12">
        <v>46145.0</v>
      </c>
      <c r="C226" s="13" t="str">
        <f t="shared" si="1"/>
        <v>2026-05</v>
      </c>
      <c r="D226" s="12">
        <v>46165.0</v>
      </c>
      <c r="F226" s="2" t="s">
        <v>191</v>
      </c>
      <c r="G226" s="2" t="str">
        <f>VLOOKUP(F226,Tabela_1[#ALL],2,0)</f>
        <v>Solene Cosméticos Ltda (São Paulo)</v>
      </c>
      <c r="H226" s="2" t="str">
        <f>VLOOKUP(F226,Tabela_1[#ALL],3,0)</f>
        <v>cosmetico</v>
      </c>
      <c r="I226" s="2" t="s">
        <v>49</v>
      </c>
      <c r="J226" s="2">
        <v>3.0</v>
      </c>
      <c r="K226" s="14">
        <v>6416.9</v>
      </c>
      <c r="L226" s="14">
        <v>5497.9</v>
      </c>
      <c r="M226" s="14">
        <v>919.0</v>
      </c>
      <c r="N226" s="14">
        <v>7047.0</v>
      </c>
      <c r="O226" s="14">
        <f t="shared" si="2"/>
        <v>-6128</v>
      </c>
      <c r="P226" s="2" t="s">
        <v>2598</v>
      </c>
    </row>
    <row r="227" ht="22.5" customHeight="1">
      <c r="A227" s="2" t="s">
        <v>1015</v>
      </c>
      <c r="B227" s="12">
        <v>46145.0</v>
      </c>
      <c r="C227" s="13" t="str">
        <f t="shared" si="1"/>
        <v>2026-05</v>
      </c>
      <c r="D227" s="12">
        <v>46177.0</v>
      </c>
      <c r="E227" s="12">
        <v>46177.0</v>
      </c>
      <c r="F227" s="2" t="s">
        <v>215</v>
      </c>
      <c r="G227" s="2" t="str">
        <f>VLOOKUP(F227,Tabela_1[#ALL],2,0)</f>
        <v>Lumen Beauty EPP</v>
      </c>
      <c r="H227" s="2" t="str">
        <f>VLOOKUP(F227,Tabela_1[#ALL],3,0)</f>
        <v>cosmetico</v>
      </c>
      <c r="I227" s="2" t="s">
        <v>22</v>
      </c>
      <c r="J227" s="2">
        <v>3.0</v>
      </c>
      <c r="K227" s="14">
        <v>9151.8</v>
      </c>
      <c r="L227" s="14">
        <v>7408.6</v>
      </c>
      <c r="M227" s="14">
        <v>1743.2</v>
      </c>
      <c r="N227" s="14">
        <v>2291.0</v>
      </c>
      <c r="O227" s="14">
        <f t="shared" si="2"/>
        <v>-547.8</v>
      </c>
      <c r="P227" s="2" t="s">
        <v>2597</v>
      </c>
    </row>
    <row r="228" ht="22.5" customHeight="1">
      <c r="A228" s="2" t="s">
        <v>1018</v>
      </c>
      <c r="B228" s="12">
        <v>46145.0</v>
      </c>
      <c r="C228" s="13" t="str">
        <f t="shared" si="1"/>
        <v>2026-05</v>
      </c>
      <c r="D228" s="12">
        <v>46171.0</v>
      </c>
      <c r="E228" s="12">
        <v>46172.0</v>
      </c>
      <c r="F228" s="2" t="s">
        <v>219</v>
      </c>
      <c r="G228" s="2" t="str">
        <f>VLOOKUP(F228,Tabela_1[#ALL],2,0)</f>
        <v>Tradição Alimentos Comércio</v>
      </c>
      <c r="H228" s="2" t="str">
        <f>VLOOKUP(F228,Tabela_1[#ALL],3,0)</f>
        <v>alimenticio</v>
      </c>
      <c r="I228" s="2" t="s">
        <v>56</v>
      </c>
      <c r="J228" s="2">
        <v>2.0</v>
      </c>
      <c r="K228" s="14">
        <v>39537.4</v>
      </c>
      <c r="L228" s="14">
        <v>33653.8</v>
      </c>
      <c r="M228" s="14">
        <v>5883.6</v>
      </c>
      <c r="N228" s="14">
        <v>64.0</v>
      </c>
      <c r="O228" s="14">
        <f t="shared" si="2"/>
        <v>5819.6</v>
      </c>
      <c r="P228" s="2" t="s">
        <v>2597</v>
      </c>
    </row>
    <row r="229" ht="22.5" customHeight="1">
      <c r="A229" s="2" t="s">
        <v>1021</v>
      </c>
      <c r="B229" s="12">
        <v>46145.0</v>
      </c>
      <c r="C229" s="13" t="str">
        <f t="shared" si="1"/>
        <v>2026-05</v>
      </c>
      <c r="D229" s="12">
        <v>46174.0</v>
      </c>
      <c r="E229" s="12">
        <v>46171.0</v>
      </c>
      <c r="F229" s="2" t="s">
        <v>231</v>
      </c>
      <c r="G229" s="2" t="str">
        <f>VLOOKUP(F229,Tabela_1[#ALL],2,0)</f>
        <v>Indústria Caraíbas ME</v>
      </c>
      <c r="H229" s="2" t="str">
        <f>VLOOKUP(F229,Tabela_1[#ALL],3,0)</f>
        <v>alimenticio</v>
      </c>
      <c r="I229" s="2" t="s">
        <v>39</v>
      </c>
      <c r="J229" s="2">
        <v>3.0</v>
      </c>
      <c r="K229" s="14">
        <v>13358.0</v>
      </c>
      <c r="L229" s="14">
        <v>10336.5</v>
      </c>
      <c r="M229" s="14">
        <v>3021.5</v>
      </c>
      <c r="N229" s="14">
        <v>311.0</v>
      </c>
      <c r="O229" s="14">
        <f t="shared" si="2"/>
        <v>2710.5</v>
      </c>
      <c r="P229" s="2" t="s">
        <v>2597</v>
      </c>
    </row>
    <row r="230" ht="22.5" customHeight="1">
      <c r="A230" s="2" t="s">
        <v>1023</v>
      </c>
      <c r="B230" s="12">
        <v>46146.0</v>
      </c>
      <c r="C230" s="13" t="str">
        <f t="shared" si="1"/>
        <v>2026-05</v>
      </c>
      <c r="D230" s="12">
        <v>46168.0</v>
      </c>
      <c r="E230" s="12">
        <v>46170.0</v>
      </c>
      <c r="F230" s="2" t="s">
        <v>10</v>
      </c>
      <c r="G230" s="2" t="str">
        <f>VLOOKUP(F230,Tabela_1[#ALL],2,0)</f>
        <v>AgroMar</v>
      </c>
      <c r="H230" s="2" t="str">
        <f>VLOOKUP(F230,Tabela_1[#ALL],3,0)</f>
        <v>alimenticio</v>
      </c>
      <c r="I230" s="2" t="s">
        <v>16</v>
      </c>
      <c r="J230" s="2">
        <v>2.0</v>
      </c>
      <c r="K230" s="14">
        <v>521684.0</v>
      </c>
      <c r="L230" s="14">
        <v>394444.0</v>
      </c>
      <c r="M230" s="14">
        <v>127240.0</v>
      </c>
      <c r="N230" s="14">
        <v>10570.0</v>
      </c>
      <c r="O230" s="14">
        <f t="shared" si="2"/>
        <v>116670</v>
      </c>
      <c r="P230" s="2" t="s">
        <v>2597</v>
      </c>
    </row>
    <row r="231" ht="22.5" customHeight="1">
      <c r="A231" s="2" t="s">
        <v>1024</v>
      </c>
      <c r="B231" s="12">
        <v>46146.0</v>
      </c>
      <c r="C231" s="13" t="str">
        <f t="shared" si="1"/>
        <v>2026-05</v>
      </c>
      <c r="D231" s="12">
        <v>46167.0</v>
      </c>
      <c r="E231" s="12">
        <v>46169.0</v>
      </c>
      <c r="F231" s="2" t="s">
        <v>23</v>
      </c>
      <c r="G231" s="2" t="str">
        <f>VLOOKUP(F231,Tabela_1[#ALL],2,0)</f>
        <v>Nova Era Cosméticos</v>
      </c>
      <c r="H231" s="2" t="str">
        <f>VLOOKUP(F231,Tabela_1[#ALL],3,0)</f>
        <v>cosmetico</v>
      </c>
      <c r="I231" s="2" t="s">
        <v>22</v>
      </c>
      <c r="J231" s="2">
        <v>2.0</v>
      </c>
      <c r="K231" s="14">
        <v>141895.0</v>
      </c>
      <c r="L231" s="14">
        <v>108955.2</v>
      </c>
      <c r="M231" s="14">
        <v>32939.8</v>
      </c>
      <c r="N231" s="14">
        <v>5266.0</v>
      </c>
      <c r="O231" s="14">
        <f t="shared" si="2"/>
        <v>27673.8</v>
      </c>
      <c r="P231" s="2" t="s">
        <v>2597</v>
      </c>
    </row>
    <row r="232" ht="22.5" customHeight="1">
      <c r="A232" s="2" t="s">
        <v>1031</v>
      </c>
      <c r="B232" s="12">
        <v>46146.0</v>
      </c>
      <c r="C232" s="13" t="str">
        <f t="shared" si="1"/>
        <v>2026-05</v>
      </c>
      <c r="D232" s="12">
        <v>46165.0</v>
      </c>
      <c r="E232" s="12">
        <v>46170.0</v>
      </c>
      <c r="F232" s="2" t="s">
        <v>28</v>
      </c>
      <c r="G232" s="2" t="str">
        <f>VLOOKUP(F232,Tabela_1[#ALL],2,0)</f>
        <v>CoopFrigo</v>
      </c>
      <c r="H232" s="2" t="str">
        <f>VLOOKUP(F232,Tabela_1[#ALL],3,0)</f>
        <v>alimenticio</v>
      </c>
      <c r="I232" s="2" t="s">
        <v>16</v>
      </c>
      <c r="J232" s="2">
        <v>1.0</v>
      </c>
      <c r="K232" s="14">
        <v>87763.0</v>
      </c>
      <c r="L232" s="14">
        <v>68860.2</v>
      </c>
      <c r="M232" s="14">
        <v>18902.8</v>
      </c>
      <c r="N232" s="14">
        <v>1856.0</v>
      </c>
      <c r="O232" s="14">
        <f t="shared" si="2"/>
        <v>17046.8</v>
      </c>
      <c r="P232" s="2" t="s">
        <v>2599</v>
      </c>
    </row>
    <row r="233" ht="22.5" customHeight="1">
      <c r="A233" s="2" t="s">
        <v>1034</v>
      </c>
      <c r="B233" s="12">
        <v>46146.0</v>
      </c>
      <c r="C233" s="13" t="str">
        <f t="shared" si="1"/>
        <v>2026-05</v>
      </c>
      <c r="D233" s="12">
        <v>46179.0</v>
      </c>
      <c r="E233" s="12">
        <v>46179.0</v>
      </c>
      <c r="F233" s="2" t="s">
        <v>81</v>
      </c>
      <c r="G233" s="2" t="str">
        <f>VLOOKUP(F233,Tabela_1[#ALL],2,0)</f>
        <v>Padaria Aurora</v>
      </c>
      <c r="H233" s="2" t="str">
        <f>VLOOKUP(F233,Tabela_1[#ALL],3,0)</f>
        <v>outros</v>
      </c>
      <c r="I233" s="2" t="s">
        <v>85</v>
      </c>
      <c r="J233" s="2">
        <v>3.0</v>
      </c>
      <c r="K233" s="14">
        <v>8204.0</v>
      </c>
      <c r="L233" s="14">
        <v>7325.0</v>
      </c>
      <c r="M233" s="14">
        <v>879.0</v>
      </c>
      <c r="N233" s="14">
        <v>0.0</v>
      </c>
      <c r="O233" s="14">
        <f t="shared" si="2"/>
        <v>879</v>
      </c>
      <c r="P233" s="2" t="s">
        <v>2597</v>
      </c>
    </row>
    <row r="234" ht="22.5" customHeight="1">
      <c r="A234" s="2" t="s">
        <v>1037</v>
      </c>
      <c r="B234" s="12">
        <v>46146.0</v>
      </c>
      <c r="C234" s="13" t="str">
        <f t="shared" si="1"/>
        <v>2026-05</v>
      </c>
      <c r="D234" s="12">
        <v>46168.0</v>
      </c>
      <c r="E234" s="12">
        <v>46165.0</v>
      </c>
      <c r="F234" s="2" t="s">
        <v>92</v>
      </c>
      <c r="G234" s="2" t="str">
        <f>VLOOKUP(F234,Tabela_1[#ALL],2,0)</f>
        <v>EssenciaPura</v>
      </c>
      <c r="H234" s="2" t="str">
        <f>VLOOKUP(F234,Tabela_1[#ALL],3,0)</f>
        <v>cosmetico</v>
      </c>
      <c r="I234" s="2" t="s">
        <v>39</v>
      </c>
      <c r="J234" s="2">
        <v>1.0</v>
      </c>
      <c r="K234" s="14">
        <v>68037.4</v>
      </c>
      <c r="L234" s="14">
        <v>57031.35</v>
      </c>
      <c r="M234" s="14">
        <v>11006.05</v>
      </c>
      <c r="N234" s="14">
        <v>1260.0</v>
      </c>
      <c r="O234" s="14">
        <f t="shared" si="2"/>
        <v>9746.05</v>
      </c>
      <c r="P234" s="2" t="s">
        <v>2597</v>
      </c>
    </row>
    <row r="235" ht="22.5" customHeight="1">
      <c r="A235" s="2" t="s">
        <v>1041</v>
      </c>
      <c r="B235" s="12">
        <v>46146.0</v>
      </c>
      <c r="C235" s="13" t="str">
        <f t="shared" si="1"/>
        <v>2026-05</v>
      </c>
      <c r="D235" s="12">
        <v>46167.0</v>
      </c>
      <c r="F235" s="2" t="s">
        <v>101</v>
      </c>
      <c r="G235" s="2" t="str">
        <f>VLOOKUP(F235,Tabela_1[#ALL],2,0)</f>
        <v>Vivê Beauty</v>
      </c>
      <c r="H235" s="2" t="str">
        <f>VLOOKUP(F235,Tabela_1[#ALL],3,0)</f>
        <v>cosmetico</v>
      </c>
      <c r="I235" s="2" t="s">
        <v>91</v>
      </c>
      <c r="J235" s="2">
        <v>2.0</v>
      </c>
      <c r="K235" s="14">
        <v>10113.6</v>
      </c>
      <c r="L235" s="14">
        <v>8608.6</v>
      </c>
      <c r="M235" s="14">
        <v>1505.0</v>
      </c>
      <c r="N235" s="14">
        <v>1225.0</v>
      </c>
      <c r="O235" s="14">
        <f t="shared" si="2"/>
        <v>280</v>
      </c>
      <c r="P235" s="2" t="s">
        <v>2598</v>
      </c>
    </row>
    <row r="236" ht="22.5" customHeight="1">
      <c r="A236" s="2" t="s">
        <v>1044</v>
      </c>
      <c r="B236" s="12">
        <v>46146.0</v>
      </c>
      <c r="C236" s="13" t="str">
        <f t="shared" si="1"/>
        <v>2026-05</v>
      </c>
      <c r="D236" s="12">
        <v>46171.0</v>
      </c>
      <c r="E236" s="12">
        <v>46181.0</v>
      </c>
      <c r="F236" s="2" t="s">
        <v>231</v>
      </c>
      <c r="G236" s="2" t="str">
        <f>VLOOKUP(F236,Tabela_1[#ALL],2,0)</f>
        <v>Indústria Caraíbas ME</v>
      </c>
      <c r="H236" s="2" t="str">
        <f>VLOOKUP(F236,Tabela_1[#ALL],3,0)</f>
        <v>alimenticio</v>
      </c>
      <c r="I236" s="2" t="s">
        <v>39</v>
      </c>
      <c r="J236" s="2">
        <v>3.0</v>
      </c>
      <c r="K236" s="14">
        <v>15001.8</v>
      </c>
      <c r="L236" s="14">
        <v>12277.95</v>
      </c>
      <c r="M236" s="14">
        <v>2723.85</v>
      </c>
      <c r="N236" s="14">
        <v>428.0</v>
      </c>
      <c r="O236" s="14">
        <f t="shared" si="2"/>
        <v>2295.85</v>
      </c>
      <c r="P236" s="2" t="s">
        <v>2599</v>
      </c>
    </row>
    <row r="237" ht="22.5" customHeight="1">
      <c r="A237" s="2" t="s">
        <v>1047</v>
      </c>
      <c r="B237" s="12">
        <v>46146.0</v>
      </c>
      <c r="C237" s="13" t="str">
        <f t="shared" si="1"/>
        <v>2026-05</v>
      </c>
      <c r="D237" s="12">
        <v>46176.0</v>
      </c>
      <c r="E237" s="12">
        <v>46174.0</v>
      </c>
      <c r="F237" s="2" t="s">
        <v>233</v>
      </c>
      <c r="G237" s="2" t="str">
        <f>VLOOKUP(F237,Tabela_1[#ALL],2,0)</f>
        <v>Doce Vale Comércio</v>
      </c>
      <c r="H237" s="2" t="str">
        <f>VLOOKUP(F237,Tabela_1[#ALL],3,0)</f>
        <v>alimenticio</v>
      </c>
      <c r="I237" s="2" t="s">
        <v>49</v>
      </c>
      <c r="J237" s="2">
        <v>1.0</v>
      </c>
      <c r="K237" s="14">
        <v>7585.2</v>
      </c>
      <c r="L237" s="14">
        <v>6772.5</v>
      </c>
      <c r="M237" s="14">
        <v>812.7</v>
      </c>
      <c r="N237" s="14">
        <v>1898.0</v>
      </c>
      <c r="O237" s="14">
        <f t="shared" si="2"/>
        <v>-1085.3</v>
      </c>
      <c r="P237" s="2" t="s">
        <v>2597</v>
      </c>
    </row>
    <row r="238" ht="22.5" customHeight="1">
      <c r="A238" s="2" t="s">
        <v>1049</v>
      </c>
      <c r="B238" s="12">
        <v>46147.0</v>
      </c>
      <c r="C238" s="13" t="str">
        <f t="shared" si="1"/>
        <v>2026-05</v>
      </c>
      <c r="D238" s="12">
        <v>46172.0</v>
      </c>
      <c r="E238" s="12">
        <v>46173.0</v>
      </c>
      <c r="F238" s="2" t="s">
        <v>19</v>
      </c>
      <c r="G238" s="2" t="str">
        <f>VLOOKUP(F238,Tabela_1[#ALL],2,0)</f>
        <v>NorteAgro</v>
      </c>
      <c r="H238" s="2" t="str">
        <f>VLOOKUP(F238,Tabela_1[#ALL],3,0)</f>
        <v>alimenticio</v>
      </c>
      <c r="I238" s="2" t="s">
        <v>22</v>
      </c>
      <c r="J238" s="2">
        <v>2.0</v>
      </c>
      <c r="K238" s="14">
        <v>139845.8</v>
      </c>
      <c r="L238" s="14">
        <v>107327.75</v>
      </c>
      <c r="M238" s="14">
        <v>32518.05</v>
      </c>
      <c r="N238" s="14">
        <v>7135.0</v>
      </c>
      <c r="O238" s="14">
        <f t="shared" si="2"/>
        <v>25383.05</v>
      </c>
      <c r="P238" s="2" t="s">
        <v>2597</v>
      </c>
    </row>
    <row r="239" ht="22.5" customHeight="1">
      <c r="A239" s="2" t="s">
        <v>1055</v>
      </c>
      <c r="B239" s="12">
        <v>46147.0</v>
      </c>
      <c r="C239" s="13" t="str">
        <f t="shared" si="1"/>
        <v>2026-05</v>
      </c>
      <c r="D239" s="12">
        <v>46163.0</v>
      </c>
      <c r="E239" s="12">
        <v>46165.0</v>
      </c>
      <c r="F239" s="2" t="s">
        <v>31</v>
      </c>
      <c r="G239" s="2" t="str">
        <f>VLOOKUP(F239,Tabela_1[#ALL],2,0)</f>
        <v>Distribuidora Sul PR</v>
      </c>
      <c r="H239" s="2" t="str">
        <f>VLOOKUP(F239,Tabela_1[#ALL],3,0)</f>
        <v>distribuidor</v>
      </c>
      <c r="I239" s="2" t="s">
        <v>16</v>
      </c>
      <c r="J239" s="2">
        <v>2.0</v>
      </c>
      <c r="K239" s="14">
        <v>86158.8</v>
      </c>
      <c r="L239" s="14">
        <v>76927.5</v>
      </c>
      <c r="M239" s="14">
        <v>9231.3</v>
      </c>
      <c r="N239" s="14">
        <v>8322.0</v>
      </c>
      <c r="O239" s="14">
        <f t="shared" si="2"/>
        <v>909.3</v>
      </c>
      <c r="P239" s="2" t="s">
        <v>2597</v>
      </c>
    </row>
    <row r="240" ht="22.5" customHeight="1">
      <c r="A240" s="2" t="s">
        <v>1058</v>
      </c>
      <c r="B240" s="12">
        <v>46147.0</v>
      </c>
      <c r="C240" s="13" t="str">
        <f t="shared" si="1"/>
        <v>2026-05</v>
      </c>
      <c r="D240" s="12">
        <v>46166.0</v>
      </c>
      <c r="E240" s="12">
        <v>46177.0</v>
      </c>
      <c r="F240" s="2" t="s">
        <v>35</v>
      </c>
      <c r="G240" s="2" t="str">
        <f>VLOOKUP(F240,Tabela_1[#ALL],2,0)</f>
        <v>CoopVale</v>
      </c>
      <c r="H240" s="2" t="str">
        <f>VLOOKUP(F240,Tabela_1[#ALL],3,0)</f>
        <v>alimenticio</v>
      </c>
      <c r="I240" s="2" t="s">
        <v>39</v>
      </c>
      <c r="J240" s="2">
        <v>1.0</v>
      </c>
      <c r="K240" s="14">
        <v>76171.2</v>
      </c>
      <c r="L240" s="14">
        <v>68010.0</v>
      </c>
      <c r="M240" s="14">
        <v>8161.2</v>
      </c>
      <c r="N240" s="14">
        <v>346.0</v>
      </c>
      <c r="O240" s="14">
        <f t="shared" si="2"/>
        <v>7815.2</v>
      </c>
      <c r="P240" s="2" t="s">
        <v>2599</v>
      </c>
    </row>
    <row r="241" ht="22.5" customHeight="1">
      <c r="A241" s="2" t="s">
        <v>1060</v>
      </c>
      <c r="B241" s="12">
        <v>46147.0</v>
      </c>
      <c r="C241" s="13" t="str">
        <f t="shared" si="1"/>
        <v>2026-05</v>
      </c>
      <c r="D241" s="12">
        <v>46182.0</v>
      </c>
      <c r="E241" s="12">
        <v>46183.0</v>
      </c>
      <c r="F241" s="2" t="s">
        <v>74</v>
      </c>
      <c r="G241" s="2" t="str">
        <f>VLOOKUP(F241,Tabela_1[#ALL],2,0)</f>
        <v>EnvioFácil</v>
      </c>
      <c r="H241" s="2" t="str">
        <f>VLOOKUP(F241,Tabela_1[#ALL],3,0)</f>
        <v>ecommerce</v>
      </c>
      <c r="I241" s="2" t="s">
        <v>56</v>
      </c>
      <c r="J241" s="2">
        <v>1.0</v>
      </c>
      <c r="K241" s="14">
        <v>8030.4</v>
      </c>
      <c r="L241" s="14">
        <v>6500.8</v>
      </c>
      <c r="M241" s="14">
        <v>1529.6</v>
      </c>
      <c r="N241" s="14">
        <v>1293.0</v>
      </c>
      <c r="O241" s="14">
        <f t="shared" si="2"/>
        <v>236.6</v>
      </c>
      <c r="P241" s="2" t="s">
        <v>2597</v>
      </c>
    </row>
    <row r="242" ht="22.5" customHeight="1">
      <c r="A242" s="2" t="s">
        <v>1062</v>
      </c>
      <c r="B242" s="12">
        <v>46147.0</v>
      </c>
      <c r="C242" s="13" t="str">
        <f t="shared" si="1"/>
        <v>2026-05</v>
      </c>
      <c r="D242" s="12">
        <v>46167.0</v>
      </c>
      <c r="F242" s="2" t="s">
        <v>195</v>
      </c>
      <c r="G242" s="2" t="str">
        <f>VLOOKUP(F242,Tabela_1[#ALL],2,0)</f>
        <v>Lumen Beauty</v>
      </c>
      <c r="H242" s="2" t="str">
        <f>VLOOKUP(F242,Tabela_1[#ALL],3,0)</f>
        <v>cosmetico</v>
      </c>
      <c r="I242" s="2" t="s">
        <v>43</v>
      </c>
      <c r="J242" s="2">
        <v>1.0</v>
      </c>
      <c r="K242" s="14">
        <v>23186.8</v>
      </c>
      <c r="L242" s="14">
        <v>18058.95</v>
      </c>
      <c r="M242" s="14">
        <v>5127.85</v>
      </c>
      <c r="N242" s="14">
        <v>690.0</v>
      </c>
      <c r="O242" s="14">
        <f t="shared" si="2"/>
        <v>4437.85</v>
      </c>
      <c r="P242" s="2" t="s">
        <v>2598</v>
      </c>
    </row>
    <row r="243" ht="22.5" customHeight="1">
      <c r="A243" s="2" t="s">
        <v>1066</v>
      </c>
      <c r="B243" s="12">
        <v>46147.0</v>
      </c>
      <c r="C243" s="13" t="str">
        <f t="shared" si="1"/>
        <v>2026-05</v>
      </c>
      <c r="D243" s="12">
        <v>46176.0</v>
      </c>
      <c r="E243" s="12">
        <v>46178.0</v>
      </c>
      <c r="F243" s="2" t="s">
        <v>203</v>
      </c>
      <c r="G243" s="2" t="str">
        <f>VLOOKUP(F243,Tabela_1[#ALL],2,0)</f>
        <v>BeautyLab S.A.</v>
      </c>
      <c r="H243" s="2" t="str">
        <f>VLOOKUP(F243,Tabela_1[#ALL],3,0)</f>
        <v>cosmetico</v>
      </c>
      <c r="I243" s="2" t="s">
        <v>22</v>
      </c>
      <c r="J243" s="2">
        <v>2.0</v>
      </c>
      <c r="K243" s="14">
        <v>41422.2</v>
      </c>
      <c r="L243" s="14">
        <v>34721.55</v>
      </c>
      <c r="M243" s="14">
        <v>6700.65</v>
      </c>
      <c r="N243" s="14">
        <v>4252.0</v>
      </c>
      <c r="O243" s="14">
        <f t="shared" si="2"/>
        <v>2448.65</v>
      </c>
      <c r="P243" s="2" t="s">
        <v>2597</v>
      </c>
    </row>
    <row r="244" ht="22.5" customHeight="1">
      <c r="A244" s="2" t="s">
        <v>1071</v>
      </c>
      <c r="B244" s="12">
        <v>46147.0</v>
      </c>
      <c r="C244" s="13" t="str">
        <f t="shared" si="1"/>
        <v>2026-05</v>
      </c>
      <c r="D244" s="12">
        <v>46174.0</v>
      </c>
      <c r="E244" s="12">
        <v>46176.0</v>
      </c>
      <c r="F244" s="2" t="s">
        <v>239</v>
      </c>
      <c r="G244" s="2" t="str">
        <f>VLOOKUP(F244,Tabela_1[#ALL],2,0)</f>
        <v>FreteFix Comércio</v>
      </c>
      <c r="H244" s="2" t="str">
        <f>VLOOKUP(F244,Tabela_1[#ALL],3,0)</f>
        <v>logistica</v>
      </c>
      <c r="I244" s="2" t="s">
        <v>56</v>
      </c>
      <c r="J244" s="2">
        <v>3.0</v>
      </c>
      <c r="K244" s="14">
        <v>5612.6</v>
      </c>
      <c r="L244" s="14">
        <v>4855.5</v>
      </c>
      <c r="M244" s="14">
        <v>757.1</v>
      </c>
      <c r="N244" s="14">
        <v>2455.0</v>
      </c>
      <c r="O244" s="14">
        <f t="shared" si="2"/>
        <v>-1697.9</v>
      </c>
      <c r="P244" s="2" t="s">
        <v>2597</v>
      </c>
    </row>
    <row r="245" ht="22.5" customHeight="1">
      <c r="A245" s="2" t="s">
        <v>1074</v>
      </c>
      <c r="B245" s="12">
        <v>46147.0</v>
      </c>
      <c r="C245" s="13" t="str">
        <f t="shared" si="1"/>
        <v>2026-05</v>
      </c>
      <c r="D245" s="12">
        <v>46177.0</v>
      </c>
      <c r="E245" s="12">
        <v>46176.0</v>
      </c>
      <c r="F245" s="2" t="s">
        <v>257</v>
      </c>
      <c r="G245" s="2" t="str">
        <f>VLOOKUP(F245,Tabela_1[#ALL],2,0)</f>
        <v>Mercado Vale Ltda (Londrina)</v>
      </c>
      <c r="H245" s="2" t="str">
        <f>VLOOKUP(F245,Tabela_1[#ALL],3,0)</f>
        <v>varejo</v>
      </c>
      <c r="I245" s="2" t="s">
        <v>39</v>
      </c>
      <c r="J245" s="2">
        <v>1.0</v>
      </c>
      <c r="K245" s="14">
        <v>5320.0</v>
      </c>
      <c r="L245" s="14">
        <v>4750.0</v>
      </c>
      <c r="M245" s="14">
        <v>570.0</v>
      </c>
      <c r="N245" s="14">
        <v>1736.0</v>
      </c>
      <c r="O245" s="14">
        <f t="shared" si="2"/>
        <v>-1166</v>
      </c>
      <c r="P245" s="2" t="s">
        <v>2597</v>
      </c>
    </row>
    <row r="246" ht="22.5" customHeight="1">
      <c r="A246" s="2" t="s">
        <v>1075</v>
      </c>
      <c r="B246" s="12">
        <v>46148.0</v>
      </c>
      <c r="C246" s="13" t="str">
        <f t="shared" si="1"/>
        <v>2026-05</v>
      </c>
      <c r="D246" s="12">
        <v>46171.0</v>
      </c>
      <c r="E246" s="12">
        <v>46168.0</v>
      </c>
      <c r="F246" s="2" t="s">
        <v>35</v>
      </c>
      <c r="G246" s="2" t="str">
        <f>VLOOKUP(F246,Tabela_1[#ALL],2,0)</f>
        <v>CoopVale</v>
      </c>
      <c r="H246" s="2" t="str">
        <f>VLOOKUP(F246,Tabela_1[#ALL],3,0)</f>
        <v>alimenticio</v>
      </c>
      <c r="I246" s="2" t="s">
        <v>39</v>
      </c>
      <c r="J246" s="2">
        <v>1.0</v>
      </c>
      <c r="K246" s="14">
        <v>40625.2</v>
      </c>
      <c r="L246" s="14">
        <v>36272.5</v>
      </c>
      <c r="M246" s="14">
        <v>4352.7</v>
      </c>
      <c r="N246" s="14">
        <v>477.0</v>
      </c>
      <c r="O246" s="14">
        <f t="shared" si="2"/>
        <v>3875.7</v>
      </c>
      <c r="P246" s="2" t="s">
        <v>2597</v>
      </c>
    </row>
    <row r="247" ht="22.5" customHeight="1">
      <c r="A247" s="2" t="s">
        <v>1078</v>
      </c>
      <c r="B247" s="12">
        <v>46148.0</v>
      </c>
      <c r="C247" s="13" t="str">
        <f t="shared" si="1"/>
        <v>2026-05</v>
      </c>
      <c r="D247" s="12">
        <v>46179.0</v>
      </c>
      <c r="E247" s="12">
        <v>46180.0</v>
      </c>
      <c r="F247" s="2" t="s">
        <v>59</v>
      </c>
      <c r="G247" s="2" t="str">
        <f>VLOOKUP(F247,Tabela_1[#ALL],2,0)</f>
        <v>BioGenova</v>
      </c>
      <c r="H247" s="2" t="str">
        <f>VLOOKUP(F247,Tabela_1[#ALL],3,0)</f>
        <v>farmaceutico</v>
      </c>
      <c r="I247" s="2" t="s">
        <v>49</v>
      </c>
      <c r="J247" s="2">
        <v>2.0</v>
      </c>
      <c r="K247" s="14">
        <v>34200.6</v>
      </c>
      <c r="L247" s="14">
        <v>28668.15</v>
      </c>
      <c r="M247" s="14">
        <v>5532.45</v>
      </c>
      <c r="N247" s="14">
        <v>10995.0</v>
      </c>
      <c r="O247" s="14">
        <f t="shared" si="2"/>
        <v>-5462.55</v>
      </c>
      <c r="P247" s="2" t="s">
        <v>2597</v>
      </c>
    </row>
    <row r="248" ht="22.5" customHeight="1">
      <c r="A248" s="2" t="s">
        <v>1083</v>
      </c>
      <c r="B248" s="12">
        <v>46149.0</v>
      </c>
      <c r="C248" s="13" t="str">
        <f t="shared" si="1"/>
        <v>2026-05</v>
      </c>
      <c r="D248" s="12">
        <v>46169.0</v>
      </c>
      <c r="F248" s="2" t="s">
        <v>35</v>
      </c>
      <c r="G248" s="2" t="str">
        <f>VLOOKUP(F248,Tabela_1[#ALL],2,0)</f>
        <v>CoopVale</v>
      </c>
      <c r="H248" s="2" t="str">
        <f>VLOOKUP(F248,Tabela_1[#ALL],3,0)</f>
        <v>alimenticio</v>
      </c>
      <c r="I248" s="2" t="s">
        <v>39</v>
      </c>
      <c r="J248" s="2">
        <v>1.0</v>
      </c>
      <c r="K248" s="14">
        <v>75835.2</v>
      </c>
      <c r="L248" s="14">
        <v>61390.4</v>
      </c>
      <c r="M248" s="14">
        <v>14444.8</v>
      </c>
      <c r="N248" s="14">
        <v>445.0</v>
      </c>
      <c r="O248" s="14">
        <f t="shared" si="2"/>
        <v>13999.8</v>
      </c>
      <c r="P248" s="2" t="s">
        <v>2601</v>
      </c>
    </row>
    <row r="249" ht="22.5" customHeight="1">
      <c r="A249" s="2" t="s">
        <v>1087</v>
      </c>
      <c r="B249" s="12">
        <v>46149.0</v>
      </c>
      <c r="C249" s="13" t="str">
        <f t="shared" si="1"/>
        <v>2026-05</v>
      </c>
      <c r="D249" s="12">
        <v>46166.0</v>
      </c>
      <c r="F249" s="2" t="s">
        <v>57</v>
      </c>
      <c r="G249" s="2" t="str">
        <f>VLOOKUP(F249,Tabela_1[#ALL],2,0)</f>
        <v>Distribuidora Oeste</v>
      </c>
      <c r="H249" s="2" t="str">
        <f>VLOOKUP(F249,Tabela_1[#ALL],3,0)</f>
        <v>distribuidor</v>
      </c>
      <c r="I249" s="2" t="s">
        <v>39</v>
      </c>
      <c r="J249" s="2">
        <v>1.0</v>
      </c>
      <c r="K249" s="14">
        <v>36275.4</v>
      </c>
      <c r="L249" s="14">
        <v>29365.8</v>
      </c>
      <c r="M249" s="14">
        <v>6909.6</v>
      </c>
      <c r="N249" s="14">
        <v>212.0</v>
      </c>
      <c r="O249" s="14">
        <f t="shared" si="2"/>
        <v>6697.6</v>
      </c>
      <c r="P249" s="2" t="s">
        <v>2598</v>
      </c>
    </row>
    <row r="250" ht="22.5" customHeight="1">
      <c r="A250" s="2" t="s">
        <v>1090</v>
      </c>
      <c r="B250" s="12">
        <v>46149.0</v>
      </c>
      <c r="C250" s="13" t="str">
        <f t="shared" si="1"/>
        <v>2026-05</v>
      </c>
      <c r="D250" s="12">
        <v>46175.0</v>
      </c>
      <c r="F250" s="2" t="s">
        <v>74</v>
      </c>
      <c r="G250" s="2" t="str">
        <f>VLOOKUP(F250,Tabela_1[#ALL],2,0)</f>
        <v>EnvioFácil</v>
      </c>
      <c r="H250" s="2" t="str">
        <f>VLOOKUP(F250,Tabela_1[#ALL],3,0)</f>
        <v>ecommerce</v>
      </c>
      <c r="I250" s="2" t="s">
        <v>56</v>
      </c>
      <c r="J250" s="2">
        <v>3.0</v>
      </c>
      <c r="K250" s="14">
        <v>18611.6</v>
      </c>
      <c r="L250" s="14">
        <v>16617.5</v>
      </c>
      <c r="M250" s="14">
        <v>1994.1</v>
      </c>
      <c r="N250" s="14">
        <v>1066.0</v>
      </c>
      <c r="O250" s="14">
        <f t="shared" si="2"/>
        <v>928.1</v>
      </c>
      <c r="P250" s="2" t="s">
        <v>2601</v>
      </c>
    </row>
    <row r="251" ht="22.5" customHeight="1">
      <c r="A251" s="2" t="s">
        <v>1093</v>
      </c>
      <c r="B251" s="12">
        <v>46149.0</v>
      </c>
      <c r="C251" s="13" t="str">
        <f t="shared" si="1"/>
        <v>2026-05</v>
      </c>
      <c r="D251" s="12">
        <v>46176.0</v>
      </c>
      <c r="E251" s="12">
        <v>46174.0</v>
      </c>
      <c r="F251" s="2" t="s">
        <v>103</v>
      </c>
      <c r="G251" s="2" t="str">
        <f>VLOOKUP(F251,Tabela_1[#ALL],2,0)</f>
        <v>Sabor da Terra</v>
      </c>
      <c r="H251" s="2" t="str">
        <f>VLOOKUP(F251,Tabela_1[#ALL],3,0)</f>
        <v>alimenticio</v>
      </c>
      <c r="I251" s="2" t="s">
        <v>91</v>
      </c>
      <c r="J251" s="2">
        <v>3.0</v>
      </c>
      <c r="K251" s="14">
        <v>11191.6</v>
      </c>
      <c r="L251" s="14">
        <v>9681.7</v>
      </c>
      <c r="M251" s="14">
        <v>1509.9</v>
      </c>
      <c r="N251" s="14">
        <v>2087.0</v>
      </c>
      <c r="O251" s="14">
        <f t="shared" si="2"/>
        <v>-577.1</v>
      </c>
      <c r="P251" s="2" t="s">
        <v>2597</v>
      </c>
    </row>
    <row r="252" ht="22.5" customHeight="1">
      <c r="A252" s="2" t="s">
        <v>1097</v>
      </c>
      <c r="B252" s="12">
        <v>46149.0</v>
      </c>
      <c r="C252" s="13" t="str">
        <f t="shared" si="1"/>
        <v>2026-05</v>
      </c>
      <c r="D252" s="12">
        <v>46169.0</v>
      </c>
      <c r="E252" s="12">
        <v>46166.0</v>
      </c>
      <c r="F252" s="2" t="s">
        <v>124</v>
      </c>
      <c r="G252" s="2" t="str">
        <f>VLOOKUP(F252,Tabela_1[#ALL],2,0)</f>
        <v>Mercatto Indústria</v>
      </c>
      <c r="H252" s="2" t="str">
        <f>VLOOKUP(F252,Tabela_1[#ALL],3,0)</f>
        <v>varejo</v>
      </c>
      <c r="I252" s="2" t="s">
        <v>49</v>
      </c>
      <c r="J252" s="2">
        <v>3.0</v>
      </c>
      <c r="K252" s="14">
        <v>21240.9</v>
      </c>
      <c r="L252" s="14">
        <v>18198.9</v>
      </c>
      <c r="M252" s="14">
        <v>3042.0</v>
      </c>
      <c r="N252" s="14">
        <v>2080.0</v>
      </c>
      <c r="O252" s="14">
        <f t="shared" si="2"/>
        <v>962</v>
      </c>
      <c r="P252" s="2" t="s">
        <v>2597</v>
      </c>
    </row>
    <row r="253" ht="22.5" customHeight="1">
      <c r="A253" s="2" t="s">
        <v>1100</v>
      </c>
      <c r="B253" s="12">
        <v>46149.0</v>
      </c>
      <c r="C253" s="13" t="str">
        <f t="shared" si="1"/>
        <v>2026-05</v>
      </c>
      <c r="D253" s="12">
        <v>46168.0</v>
      </c>
      <c r="E253" s="12">
        <v>46165.0</v>
      </c>
      <c r="F253" s="2" t="s">
        <v>128</v>
      </c>
      <c r="G253" s="2" t="str">
        <f>VLOOKUP(F253,Tabela_1[#ALL],2,0)</f>
        <v>EnviaTudo Cooperativa</v>
      </c>
      <c r="H253" s="2" t="str">
        <f>VLOOKUP(F253,Tabela_1[#ALL],3,0)</f>
        <v>ecommerce</v>
      </c>
      <c r="I253" s="2" t="s">
        <v>56</v>
      </c>
      <c r="J253" s="2">
        <v>2.0</v>
      </c>
      <c r="K253" s="14">
        <v>11827.2</v>
      </c>
      <c r="L253" s="14">
        <v>10067.2</v>
      </c>
      <c r="M253" s="14">
        <v>1760.0</v>
      </c>
      <c r="N253" s="14">
        <v>5502.0</v>
      </c>
      <c r="O253" s="14">
        <f t="shared" si="2"/>
        <v>-3742</v>
      </c>
      <c r="P253" s="2" t="s">
        <v>2597</v>
      </c>
    </row>
    <row r="254" ht="22.5" customHeight="1">
      <c r="A254" s="2" t="s">
        <v>1103</v>
      </c>
      <c r="B254" s="12">
        <v>46149.0</v>
      </c>
      <c r="C254" s="13" t="str">
        <f t="shared" si="1"/>
        <v>2026-05</v>
      </c>
      <c r="D254" s="12">
        <v>46166.0</v>
      </c>
      <c r="E254" s="12">
        <v>46163.0</v>
      </c>
      <c r="F254" s="2" t="s">
        <v>185</v>
      </c>
      <c r="G254" s="2" t="str">
        <f>VLOOKUP(F254,Tabela_1[#ALL],2,0)</f>
        <v>Floratta Cosméticos S.A.</v>
      </c>
      <c r="H254" s="2" t="str">
        <f>VLOOKUP(F254,Tabela_1[#ALL],3,0)</f>
        <v>cosmetico</v>
      </c>
      <c r="I254" s="2" t="s">
        <v>22</v>
      </c>
      <c r="J254" s="2">
        <v>3.0</v>
      </c>
      <c r="K254" s="14">
        <v>8635.2</v>
      </c>
      <c r="L254" s="14">
        <v>7710.0</v>
      </c>
      <c r="M254" s="14">
        <v>925.2</v>
      </c>
      <c r="N254" s="14">
        <v>3089.0</v>
      </c>
      <c r="O254" s="14">
        <f t="shared" si="2"/>
        <v>-2163.8</v>
      </c>
      <c r="P254" s="2" t="s">
        <v>2597</v>
      </c>
    </row>
    <row r="255" ht="22.5" customHeight="1">
      <c r="A255" s="2" t="s">
        <v>1105</v>
      </c>
      <c r="B255" s="12">
        <v>46149.0</v>
      </c>
      <c r="C255" s="13" t="str">
        <f t="shared" si="1"/>
        <v>2026-05</v>
      </c>
      <c r="D255" s="12">
        <v>46173.0</v>
      </c>
      <c r="F255" s="2" t="s">
        <v>217</v>
      </c>
      <c r="G255" s="2" t="str">
        <f>VLOOKUP(F255,Tabela_1[#ALL],2,0)</f>
        <v>Cherie Cosméticos Ltda</v>
      </c>
      <c r="H255" s="2" t="str">
        <f>VLOOKUP(F255,Tabela_1[#ALL],3,0)</f>
        <v>cosmetico</v>
      </c>
      <c r="I255" s="2" t="s">
        <v>56</v>
      </c>
      <c r="J255" s="2">
        <v>1.0</v>
      </c>
      <c r="K255" s="14">
        <v>6224.4</v>
      </c>
      <c r="L255" s="14">
        <v>5038.8</v>
      </c>
      <c r="M255" s="14">
        <v>1185.6</v>
      </c>
      <c r="N255" s="14">
        <v>2342.0</v>
      </c>
      <c r="O255" s="14">
        <f t="shared" si="2"/>
        <v>-1156.4</v>
      </c>
      <c r="P255" s="2" t="s">
        <v>2598</v>
      </c>
    </row>
    <row r="256" ht="22.5" customHeight="1">
      <c r="A256" s="2" t="s">
        <v>1107</v>
      </c>
      <c r="B256" s="12">
        <v>46149.0</v>
      </c>
      <c r="C256" s="13" t="str">
        <f t="shared" si="1"/>
        <v>2026-05</v>
      </c>
      <c r="D256" s="12">
        <v>46178.0</v>
      </c>
      <c r="E256" s="12">
        <v>46176.0</v>
      </c>
      <c r="F256" s="2" t="s">
        <v>233</v>
      </c>
      <c r="G256" s="2" t="str">
        <f>VLOOKUP(F256,Tabela_1[#ALL],2,0)</f>
        <v>Doce Vale Comércio</v>
      </c>
      <c r="H256" s="2" t="str">
        <f>VLOOKUP(F256,Tabela_1[#ALL],3,0)</f>
        <v>alimenticio</v>
      </c>
      <c r="I256" s="2" t="s">
        <v>49</v>
      </c>
      <c r="J256" s="2">
        <v>2.0</v>
      </c>
      <c r="K256" s="14">
        <v>10584.0</v>
      </c>
      <c r="L256" s="14">
        <v>9009.0</v>
      </c>
      <c r="M256" s="14">
        <v>1575.0</v>
      </c>
      <c r="N256" s="14">
        <v>1891.0</v>
      </c>
      <c r="O256" s="14">
        <f t="shared" si="2"/>
        <v>-316</v>
      </c>
      <c r="P256" s="2" t="s">
        <v>2597</v>
      </c>
    </row>
    <row r="257" ht="22.5" customHeight="1">
      <c r="A257" s="2" t="s">
        <v>1108</v>
      </c>
      <c r="B257" s="12">
        <v>46149.0</v>
      </c>
      <c r="C257" s="13" t="str">
        <f t="shared" si="1"/>
        <v>2026-05</v>
      </c>
      <c r="D257" s="12">
        <v>46179.0</v>
      </c>
      <c r="E257" s="12">
        <v>46178.0</v>
      </c>
      <c r="F257" s="2" t="s">
        <v>255</v>
      </c>
      <c r="G257" s="2" t="str">
        <f>VLOOKUP(F257,Tabela_1[#ALL],2,0)</f>
        <v>Lumen Beauty EPP (Apucarana)</v>
      </c>
      <c r="H257" s="2" t="str">
        <f>VLOOKUP(F257,Tabela_1[#ALL],3,0)</f>
        <v>cosmetico</v>
      </c>
      <c r="I257" s="2" t="s">
        <v>39</v>
      </c>
      <c r="J257" s="2">
        <v>2.0</v>
      </c>
      <c r="K257" s="14">
        <v>22125.4</v>
      </c>
      <c r="L257" s="14">
        <v>17637.7</v>
      </c>
      <c r="M257" s="14">
        <v>4487.7</v>
      </c>
      <c r="N257" s="14">
        <v>2665.0</v>
      </c>
      <c r="O257" s="14">
        <f t="shared" si="2"/>
        <v>1822.7</v>
      </c>
      <c r="P257" s="2" t="s">
        <v>2597</v>
      </c>
    </row>
    <row r="258" ht="22.5" customHeight="1">
      <c r="A258" s="2" t="s">
        <v>1112</v>
      </c>
      <c r="B258" s="12">
        <v>46150.0</v>
      </c>
      <c r="C258" s="13" t="str">
        <f t="shared" si="1"/>
        <v>2026-05</v>
      </c>
      <c r="D258" s="12">
        <v>46168.0</v>
      </c>
      <c r="E258" s="12">
        <v>46168.0</v>
      </c>
      <c r="F258" s="2" t="s">
        <v>149</v>
      </c>
      <c r="G258" s="2" t="str">
        <f>VLOOKUP(F258,Tabela_1[#ALL],2,0)</f>
        <v>EnviaTudo Comércio</v>
      </c>
      <c r="H258" s="2" t="str">
        <f>VLOOKUP(F258,Tabela_1[#ALL],3,0)</f>
        <v>ecommerce</v>
      </c>
      <c r="I258" s="2" t="s">
        <v>91</v>
      </c>
      <c r="J258" s="2">
        <v>3.0</v>
      </c>
      <c r="K258" s="14">
        <v>11841.5</v>
      </c>
      <c r="L258" s="14">
        <v>9487.7</v>
      </c>
      <c r="M258" s="14">
        <v>2353.8</v>
      </c>
      <c r="N258" s="14">
        <v>3295.0</v>
      </c>
      <c r="O258" s="14">
        <f t="shared" si="2"/>
        <v>-941.2</v>
      </c>
      <c r="P258" s="2" t="s">
        <v>2597</v>
      </c>
    </row>
    <row r="259" ht="22.5" customHeight="1">
      <c r="A259" s="2" t="s">
        <v>1114</v>
      </c>
      <c r="B259" s="12">
        <v>46150.0</v>
      </c>
      <c r="C259" s="13" t="str">
        <f t="shared" si="1"/>
        <v>2026-05</v>
      </c>
      <c r="D259" s="12">
        <v>46180.0</v>
      </c>
      <c r="E259" s="12">
        <v>46181.0</v>
      </c>
      <c r="F259" s="2" t="s">
        <v>159</v>
      </c>
      <c r="G259" s="2" t="str">
        <f>VLOOKUP(F259,Tabela_1[#ALL],2,0)</f>
        <v>Biolatina Indústria EPP</v>
      </c>
      <c r="H259" s="2" t="str">
        <f>VLOOKUP(F259,Tabela_1[#ALL],3,0)</f>
        <v>farmaceutico</v>
      </c>
      <c r="I259" s="2" t="s">
        <v>39</v>
      </c>
      <c r="J259" s="2">
        <v>3.0</v>
      </c>
      <c r="K259" s="14">
        <v>20818.0</v>
      </c>
      <c r="L259" s="14">
        <v>18587.5</v>
      </c>
      <c r="M259" s="14">
        <v>2230.5</v>
      </c>
      <c r="N259" s="14">
        <v>478.0</v>
      </c>
      <c r="O259" s="14">
        <f t="shared" si="2"/>
        <v>1752.5</v>
      </c>
      <c r="P259" s="2" t="s">
        <v>2597</v>
      </c>
    </row>
    <row r="260" ht="22.5" customHeight="1">
      <c r="A260" s="2" t="s">
        <v>1117</v>
      </c>
      <c r="B260" s="12">
        <v>46150.0</v>
      </c>
      <c r="C260" s="13" t="str">
        <f t="shared" si="1"/>
        <v>2026-05</v>
      </c>
      <c r="D260" s="12">
        <v>46171.0</v>
      </c>
      <c r="E260" s="12">
        <v>46180.0</v>
      </c>
      <c r="F260" s="2" t="s">
        <v>175</v>
      </c>
      <c r="G260" s="2" t="str">
        <f>VLOOKUP(F260,Tabela_1[#ALL],2,0)</f>
        <v>Nutrigrão Comércio</v>
      </c>
      <c r="H260" s="2" t="str">
        <f>VLOOKUP(F260,Tabela_1[#ALL],3,0)</f>
        <v>alimenticio</v>
      </c>
      <c r="I260" s="2" t="s">
        <v>49</v>
      </c>
      <c r="J260" s="2">
        <v>3.0</v>
      </c>
      <c r="K260" s="14">
        <v>31321.6</v>
      </c>
      <c r="L260" s="14">
        <v>24777.35</v>
      </c>
      <c r="M260" s="14">
        <v>6544.25</v>
      </c>
      <c r="N260" s="14">
        <v>2271.0</v>
      </c>
      <c r="O260" s="14">
        <f t="shared" si="2"/>
        <v>4273.25</v>
      </c>
      <c r="P260" s="2" t="s">
        <v>2599</v>
      </c>
    </row>
    <row r="261" ht="22.5" customHeight="1">
      <c r="A261" s="2" t="s">
        <v>1123</v>
      </c>
      <c r="B261" s="12">
        <v>46150.0</v>
      </c>
      <c r="C261" s="13" t="str">
        <f t="shared" si="1"/>
        <v>2026-05</v>
      </c>
      <c r="D261" s="12">
        <v>46183.0</v>
      </c>
      <c r="E261" s="12">
        <v>46190.0</v>
      </c>
      <c r="F261" s="2" t="s">
        <v>187</v>
      </c>
      <c r="G261" s="2" t="str">
        <f>VLOOKUP(F261,Tabela_1[#ALL],2,0)</f>
        <v>Granoma Alimentos EPP</v>
      </c>
      <c r="H261" s="2" t="str">
        <f>VLOOKUP(F261,Tabela_1[#ALL],3,0)</f>
        <v>alimenticio</v>
      </c>
      <c r="I261" s="2" t="s">
        <v>22</v>
      </c>
      <c r="J261" s="2">
        <v>3.0</v>
      </c>
      <c r="K261" s="14">
        <v>9238.2</v>
      </c>
      <c r="L261" s="14">
        <v>7914.9</v>
      </c>
      <c r="M261" s="14">
        <v>1323.3</v>
      </c>
      <c r="N261" s="14">
        <v>1649.0</v>
      </c>
      <c r="O261" s="14">
        <f t="shared" si="2"/>
        <v>-325.7</v>
      </c>
      <c r="P261" s="2" t="s">
        <v>2597</v>
      </c>
    </row>
    <row r="262" ht="22.5" customHeight="1">
      <c r="A262" s="2" t="s">
        <v>1126</v>
      </c>
      <c r="B262" s="12">
        <v>46151.0</v>
      </c>
      <c r="C262" s="13" t="str">
        <f t="shared" si="1"/>
        <v>2026-05</v>
      </c>
      <c r="D262" s="12">
        <v>46167.0</v>
      </c>
      <c r="E262" s="12">
        <v>46164.0</v>
      </c>
      <c r="F262" s="2" t="s">
        <v>51</v>
      </c>
      <c r="G262" s="2" t="str">
        <f>VLOOKUP(F262,Tabela_1[#ALL],2,0)</f>
        <v>LogiPack</v>
      </c>
      <c r="H262" s="2" t="str">
        <f>VLOOKUP(F262,Tabela_1[#ALL],3,0)</f>
        <v>logistica</v>
      </c>
      <c r="I262" s="2" t="s">
        <v>56</v>
      </c>
      <c r="J262" s="2">
        <v>3.0</v>
      </c>
      <c r="K262" s="14">
        <v>30144.8</v>
      </c>
      <c r="L262" s="14">
        <v>26077.8</v>
      </c>
      <c r="M262" s="14">
        <v>4067.0</v>
      </c>
      <c r="N262" s="14">
        <v>1912.0</v>
      </c>
      <c r="O262" s="14">
        <f t="shared" si="2"/>
        <v>2155</v>
      </c>
      <c r="P262" s="2" t="s">
        <v>2597</v>
      </c>
    </row>
    <row r="263" ht="22.5" customHeight="1">
      <c r="A263" s="2" t="s">
        <v>1130</v>
      </c>
      <c r="B263" s="12">
        <v>46151.0</v>
      </c>
      <c r="C263" s="13" t="str">
        <f t="shared" si="1"/>
        <v>2026-05</v>
      </c>
      <c r="D263" s="12">
        <v>46171.0</v>
      </c>
      <c r="E263" s="12">
        <v>46171.0</v>
      </c>
      <c r="F263" s="2" t="s">
        <v>61</v>
      </c>
      <c r="G263" s="2" t="str">
        <f>VLOOKUP(F263,Tabela_1[#ALL],2,0)</f>
        <v>Mercosul Atacado</v>
      </c>
      <c r="H263" s="2" t="str">
        <f>VLOOKUP(F263,Tabela_1[#ALL],3,0)</f>
        <v>distribuidor</v>
      </c>
      <c r="I263" s="2" t="s">
        <v>39</v>
      </c>
      <c r="J263" s="2">
        <v>3.0</v>
      </c>
      <c r="K263" s="14">
        <v>53060.3</v>
      </c>
      <c r="L263" s="14">
        <v>43987.0</v>
      </c>
      <c r="M263" s="14">
        <v>9073.3</v>
      </c>
      <c r="N263" s="14">
        <v>4243.0</v>
      </c>
      <c r="O263" s="14">
        <f t="shared" si="2"/>
        <v>4830.3</v>
      </c>
      <c r="P263" s="2" t="s">
        <v>2597</v>
      </c>
    </row>
    <row r="264" ht="22.5" customHeight="1">
      <c r="A264" s="2" t="s">
        <v>1138</v>
      </c>
      <c r="B264" s="12">
        <v>46151.0</v>
      </c>
      <c r="C264" s="13" t="str">
        <f t="shared" si="1"/>
        <v>2026-05</v>
      </c>
      <c r="D264" s="12">
        <v>46171.0</v>
      </c>
      <c r="E264" s="12">
        <v>46170.0</v>
      </c>
      <c r="F264" s="2" t="s">
        <v>136</v>
      </c>
      <c r="G264" s="2" t="str">
        <f>VLOOKUP(F264,Tabela_1[#ALL],2,0)</f>
        <v>Varejo Familiar Ltda</v>
      </c>
      <c r="H264" s="2" t="str">
        <f>VLOOKUP(F264,Tabela_1[#ALL],3,0)</f>
        <v>varejo</v>
      </c>
      <c r="I264" s="2" t="s">
        <v>49</v>
      </c>
      <c r="J264" s="2">
        <v>3.0</v>
      </c>
      <c r="K264" s="14">
        <v>9665.6</v>
      </c>
      <c r="L264" s="14">
        <v>8093.1</v>
      </c>
      <c r="M264" s="14">
        <v>1572.5</v>
      </c>
      <c r="N264" s="14">
        <v>462.0</v>
      </c>
      <c r="O264" s="14">
        <f t="shared" si="2"/>
        <v>1110.5</v>
      </c>
      <c r="P264" s="2" t="s">
        <v>2597</v>
      </c>
    </row>
    <row r="265" ht="22.5" customHeight="1">
      <c r="A265" s="2" t="s">
        <v>1141</v>
      </c>
      <c r="B265" s="12">
        <v>46151.0</v>
      </c>
      <c r="C265" s="13" t="str">
        <f t="shared" si="1"/>
        <v>2026-05</v>
      </c>
      <c r="D265" s="12">
        <v>46177.0</v>
      </c>
      <c r="F265" s="2" t="s">
        <v>138</v>
      </c>
      <c r="G265" s="2" t="str">
        <f>VLOOKUP(F265,Tabela_1[#ALL],2,0)</f>
        <v>Mercatto ME</v>
      </c>
      <c r="H265" s="2" t="str">
        <f>VLOOKUP(F265,Tabela_1[#ALL],3,0)</f>
        <v>varejo</v>
      </c>
      <c r="I265" s="2" t="s">
        <v>39</v>
      </c>
      <c r="J265" s="2">
        <v>2.0</v>
      </c>
      <c r="K265" s="14">
        <v>5742.8</v>
      </c>
      <c r="L265" s="14">
        <v>4888.1</v>
      </c>
      <c r="M265" s="14">
        <v>854.7</v>
      </c>
      <c r="N265" s="14">
        <v>1429.0</v>
      </c>
      <c r="O265" s="14">
        <f t="shared" si="2"/>
        <v>-574.3</v>
      </c>
      <c r="P265" s="2" t="s">
        <v>2601</v>
      </c>
    </row>
    <row r="266" ht="22.5" customHeight="1">
      <c r="A266" s="2" t="s">
        <v>1144</v>
      </c>
      <c r="B266" s="12">
        <v>46151.0</v>
      </c>
      <c r="C266" s="13" t="str">
        <f t="shared" si="1"/>
        <v>2026-05</v>
      </c>
      <c r="D266" s="12">
        <v>46177.0</v>
      </c>
      <c r="E266" s="12">
        <v>46174.0</v>
      </c>
      <c r="F266" s="2" t="s">
        <v>171</v>
      </c>
      <c r="G266" s="2" t="str">
        <f>VLOOKUP(F266,Tabela_1[#ALL],2,0)</f>
        <v>Solene Cosméticos Ltda</v>
      </c>
      <c r="H266" s="2" t="str">
        <f>VLOOKUP(F266,Tabela_1[#ALL],3,0)</f>
        <v>cosmetico</v>
      </c>
      <c r="I266" s="2" t="s">
        <v>56</v>
      </c>
      <c r="J266" s="2">
        <v>3.0</v>
      </c>
      <c r="K266" s="14">
        <v>8486.4</v>
      </c>
      <c r="L266" s="14">
        <v>6777.6</v>
      </c>
      <c r="M266" s="14">
        <v>1708.8</v>
      </c>
      <c r="N266" s="14">
        <v>3357.0</v>
      </c>
      <c r="O266" s="14">
        <f t="shared" si="2"/>
        <v>-1648.2</v>
      </c>
      <c r="P266" s="2" t="s">
        <v>2597</v>
      </c>
    </row>
    <row r="267" ht="22.5" customHeight="1">
      <c r="A267" s="2" t="s">
        <v>1147</v>
      </c>
      <c r="B267" s="12">
        <v>46151.0</v>
      </c>
      <c r="C267" s="13" t="str">
        <f t="shared" si="1"/>
        <v>2026-05</v>
      </c>
      <c r="D267" s="12">
        <v>46182.0</v>
      </c>
      <c r="E267" s="12">
        <v>46183.0</v>
      </c>
      <c r="F267" s="2" t="s">
        <v>183</v>
      </c>
      <c r="G267" s="2" t="str">
        <f>VLOOKUP(F267,Tabela_1[#ALL],2,0)</f>
        <v>Distrib. Litoral Sul S.A.</v>
      </c>
      <c r="H267" s="2" t="str">
        <f>VLOOKUP(F267,Tabela_1[#ALL],3,0)</f>
        <v>distribuidor</v>
      </c>
      <c r="I267" s="2" t="s">
        <v>39</v>
      </c>
      <c r="J267" s="2">
        <v>2.0</v>
      </c>
      <c r="K267" s="14">
        <v>24100.8</v>
      </c>
      <c r="L267" s="14">
        <v>19210.0</v>
      </c>
      <c r="M267" s="14">
        <v>4890.8</v>
      </c>
      <c r="N267" s="14">
        <v>1972.0</v>
      </c>
      <c r="O267" s="14">
        <f t="shared" si="2"/>
        <v>2918.8</v>
      </c>
      <c r="P267" s="2" t="s">
        <v>2597</v>
      </c>
    </row>
    <row r="268" ht="22.5" customHeight="1">
      <c r="A268" s="2" t="s">
        <v>1149</v>
      </c>
      <c r="B268" s="12">
        <v>46151.0</v>
      </c>
      <c r="C268" s="13" t="str">
        <f t="shared" si="1"/>
        <v>2026-05</v>
      </c>
      <c r="D268" s="12">
        <v>46185.0</v>
      </c>
      <c r="E268" s="12">
        <v>46185.0</v>
      </c>
      <c r="F268" s="2" t="s">
        <v>187</v>
      </c>
      <c r="G268" s="2" t="str">
        <f>VLOOKUP(F268,Tabela_1[#ALL],2,0)</f>
        <v>Granoma Alimentos EPP</v>
      </c>
      <c r="H268" s="2" t="str">
        <f>VLOOKUP(F268,Tabela_1[#ALL],3,0)</f>
        <v>alimenticio</v>
      </c>
      <c r="I268" s="2" t="s">
        <v>22</v>
      </c>
      <c r="J268" s="2">
        <v>2.0</v>
      </c>
      <c r="K268" s="14">
        <v>13152.4</v>
      </c>
      <c r="L268" s="14">
        <v>11031.2</v>
      </c>
      <c r="M268" s="14">
        <v>2121.2</v>
      </c>
      <c r="N268" s="14">
        <v>1346.0</v>
      </c>
      <c r="O268" s="14">
        <f t="shared" si="2"/>
        <v>775.2</v>
      </c>
      <c r="P268" s="2" t="s">
        <v>2597</v>
      </c>
    </row>
    <row r="269" ht="22.5" customHeight="1">
      <c r="A269" s="2" t="s">
        <v>1152</v>
      </c>
      <c r="B269" s="12">
        <v>46151.0</v>
      </c>
      <c r="C269" s="13" t="str">
        <f t="shared" si="1"/>
        <v>2026-05</v>
      </c>
      <c r="D269" s="12">
        <v>46177.0</v>
      </c>
      <c r="E269" s="12">
        <v>46174.0</v>
      </c>
      <c r="F269" s="2" t="s">
        <v>223</v>
      </c>
      <c r="G269" s="2" t="str">
        <f>VLOOKUP(F269,Tabela_1[#ALL],2,0)</f>
        <v>Mercosul Comércio S.A.</v>
      </c>
      <c r="H269" s="2" t="str">
        <f>VLOOKUP(F269,Tabela_1[#ALL],3,0)</f>
        <v>distribuidor</v>
      </c>
      <c r="I269" s="2" t="s">
        <v>91</v>
      </c>
      <c r="J269" s="2">
        <v>1.0</v>
      </c>
      <c r="K269" s="14">
        <v>9145.5</v>
      </c>
      <c r="L269" s="14">
        <v>7175.7</v>
      </c>
      <c r="M269" s="14">
        <v>1969.8</v>
      </c>
      <c r="N269" s="14">
        <v>485.0</v>
      </c>
      <c r="O269" s="14">
        <f t="shared" si="2"/>
        <v>1484.8</v>
      </c>
      <c r="P269" s="2" t="s">
        <v>2597</v>
      </c>
    </row>
    <row r="270" ht="22.5" customHeight="1">
      <c r="A270" s="2" t="s">
        <v>1153</v>
      </c>
      <c r="B270" s="12">
        <v>46151.0</v>
      </c>
      <c r="C270" s="13" t="str">
        <f t="shared" si="1"/>
        <v>2026-05</v>
      </c>
      <c r="D270" s="12">
        <v>46178.0</v>
      </c>
      <c r="E270" s="12">
        <v>46178.0</v>
      </c>
      <c r="F270" s="2" t="s">
        <v>253</v>
      </c>
      <c r="G270" s="2" t="str">
        <f>VLOOKUP(F270,Tabela_1[#ALL],2,0)</f>
        <v>Atacadão Centro Oeste S.A.</v>
      </c>
      <c r="H270" s="2" t="str">
        <f>VLOOKUP(F270,Tabela_1[#ALL],3,0)</f>
        <v>distribuidor</v>
      </c>
      <c r="I270" s="2" t="s">
        <v>22</v>
      </c>
      <c r="J270" s="2">
        <v>2.0</v>
      </c>
      <c r="K270" s="14">
        <v>13907.4</v>
      </c>
      <c r="L270" s="14">
        <v>11664.5</v>
      </c>
      <c r="M270" s="14">
        <v>2242.9</v>
      </c>
      <c r="N270" s="14">
        <v>1675.0</v>
      </c>
      <c r="O270" s="14">
        <f t="shared" si="2"/>
        <v>567.9</v>
      </c>
      <c r="P270" s="2" t="s">
        <v>2597</v>
      </c>
    </row>
    <row r="271" ht="22.5" customHeight="1">
      <c r="A271" s="2" t="s">
        <v>1155</v>
      </c>
      <c r="B271" s="12">
        <v>46152.0</v>
      </c>
      <c r="C271" s="13" t="str">
        <f t="shared" si="1"/>
        <v>2026-05</v>
      </c>
      <c r="D271" s="12">
        <v>46185.0</v>
      </c>
      <c r="E271" s="12">
        <v>46187.0</v>
      </c>
      <c r="F271" s="2" t="s">
        <v>69</v>
      </c>
      <c r="G271" s="2" t="str">
        <f>VLOOKUP(F271,Tabela_1[#ALL],2,0)</f>
        <v>Naturalle</v>
      </c>
      <c r="H271" s="2" t="str">
        <f>VLOOKUP(F271,Tabela_1[#ALL],3,0)</f>
        <v>cosmetico</v>
      </c>
      <c r="I271" s="2" t="s">
        <v>39</v>
      </c>
      <c r="J271" s="2">
        <v>3.0</v>
      </c>
      <c r="K271" s="14">
        <v>24028.2</v>
      </c>
      <c r="L271" s="14">
        <v>18879.3</v>
      </c>
      <c r="M271" s="14">
        <v>5148.9</v>
      </c>
      <c r="N271" s="14">
        <v>214.0</v>
      </c>
      <c r="O271" s="14">
        <f t="shared" si="2"/>
        <v>4934.9</v>
      </c>
      <c r="P271" s="2" t="s">
        <v>2597</v>
      </c>
    </row>
    <row r="272" ht="22.5" customHeight="1">
      <c r="A272" s="2" t="s">
        <v>1157</v>
      </c>
      <c r="B272" s="12">
        <v>46152.0</v>
      </c>
      <c r="C272" s="13" t="str">
        <f t="shared" si="1"/>
        <v>2026-05</v>
      </c>
      <c r="D272" s="12">
        <v>46169.0</v>
      </c>
      <c r="E272" s="12">
        <v>46171.0</v>
      </c>
      <c r="F272" s="2" t="s">
        <v>111</v>
      </c>
      <c r="G272" s="2" t="str">
        <f>VLOOKUP(F272,Tabela_1[#ALL],2,0)</f>
        <v>Salutar Farma Comércio</v>
      </c>
      <c r="H272" s="2" t="str">
        <f>VLOOKUP(F272,Tabela_1[#ALL],3,0)</f>
        <v>farmaceutico</v>
      </c>
      <c r="I272" s="2" t="s">
        <v>43</v>
      </c>
      <c r="J272" s="2">
        <v>1.0</v>
      </c>
      <c r="K272" s="14">
        <v>24378.0</v>
      </c>
      <c r="L272" s="14">
        <v>20434.5</v>
      </c>
      <c r="M272" s="14">
        <v>3943.5</v>
      </c>
      <c r="N272" s="14">
        <v>2540.0</v>
      </c>
      <c r="O272" s="14">
        <f t="shared" si="2"/>
        <v>1403.5</v>
      </c>
      <c r="P272" s="2" t="s">
        <v>2597</v>
      </c>
    </row>
    <row r="273" ht="22.5" customHeight="1">
      <c r="A273" s="2" t="s">
        <v>1159</v>
      </c>
      <c r="B273" s="12">
        <v>46152.0</v>
      </c>
      <c r="C273" s="13" t="str">
        <f t="shared" si="1"/>
        <v>2026-05</v>
      </c>
      <c r="D273" s="12">
        <v>46171.0</v>
      </c>
      <c r="E273" s="12">
        <v>46168.0</v>
      </c>
      <c r="F273" s="2" t="s">
        <v>145</v>
      </c>
      <c r="G273" s="2" t="str">
        <f>VLOOKUP(F273,Tabela_1[#ALL],2,0)</f>
        <v>Mercado Vale Ltda</v>
      </c>
      <c r="H273" s="2" t="str">
        <f>VLOOKUP(F273,Tabela_1[#ALL],3,0)</f>
        <v>varejo</v>
      </c>
      <c r="I273" s="2" t="s">
        <v>91</v>
      </c>
      <c r="J273" s="2">
        <v>1.0</v>
      </c>
      <c r="K273" s="14">
        <v>9633.0</v>
      </c>
      <c r="L273" s="14">
        <v>7558.2</v>
      </c>
      <c r="M273" s="14">
        <v>2074.8</v>
      </c>
      <c r="N273" s="14">
        <v>2276.0</v>
      </c>
      <c r="O273" s="14">
        <f t="shared" si="2"/>
        <v>-201.2</v>
      </c>
      <c r="P273" s="2" t="s">
        <v>2597</v>
      </c>
    </row>
    <row r="274" ht="22.5" customHeight="1">
      <c r="A274" s="2" t="s">
        <v>1160</v>
      </c>
      <c r="B274" s="12">
        <v>46152.0</v>
      </c>
      <c r="C274" s="13" t="str">
        <f t="shared" si="1"/>
        <v>2026-05</v>
      </c>
      <c r="D274" s="12">
        <v>46182.0</v>
      </c>
      <c r="E274" s="12">
        <v>46182.0</v>
      </c>
      <c r="F274" s="2" t="s">
        <v>201</v>
      </c>
      <c r="G274" s="2" t="str">
        <f>VLOOKUP(F274,Tabela_1[#ALL],2,0)</f>
        <v>PackExpress Ltda</v>
      </c>
      <c r="H274" s="2" t="str">
        <f>VLOOKUP(F274,Tabela_1[#ALL],3,0)</f>
        <v>ecommerce</v>
      </c>
      <c r="I274" s="2" t="s">
        <v>56</v>
      </c>
      <c r="J274" s="2">
        <v>3.0</v>
      </c>
      <c r="K274" s="14">
        <v>36988.0</v>
      </c>
      <c r="L274" s="14">
        <v>28181.4</v>
      </c>
      <c r="M274" s="14">
        <v>8806.6</v>
      </c>
      <c r="N274" s="14">
        <v>1016.0</v>
      </c>
      <c r="O274" s="14">
        <f t="shared" si="2"/>
        <v>7790.6</v>
      </c>
      <c r="P274" s="2" t="s">
        <v>2597</v>
      </c>
    </row>
    <row r="275" ht="22.5" customHeight="1">
      <c r="A275" s="2" t="s">
        <v>1163</v>
      </c>
      <c r="B275" s="12">
        <v>46153.0</v>
      </c>
      <c r="C275" s="13" t="str">
        <f t="shared" si="1"/>
        <v>2026-05</v>
      </c>
      <c r="D275" s="12">
        <v>46183.0</v>
      </c>
      <c r="F275" s="2" t="s">
        <v>31</v>
      </c>
      <c r="G275" s="2" t="str">
        <f>VLOOKUP(F275,Tabela_1[#ALL],2,0)</f>
        <v>Distribuidora Sul PR</v>
      </c>
      <c r="H275" s="2" t="str">
        <f>VLOOKUP(F275,Tabela_1[#ALL],3,0)</f>
        <v>distribuidor</v>
      </c>
      <c r="I275" s="2" t="s">
        <v>16</v>
      </c>
      <c r="J275" s="2">
        <v>2.0</v>
      </c>
      <c r="K275" s="14">
        <v>67228.0</v>
      </c>
      <c r="L275" s="14">
        <v>60025.0</v>
      </c>
      <c r="M275" s="14">
        <v>7203.0</v>
      </c>
      <c r="N275" s="14">
        <v>8865.0</v>
      </c>
      <c r="O275" s="14">
        <f t="shared" si="2"/>
        <v>-1662</v>
      </c>
      <c r="P275" s="2" t="s">
        <v>2600</v>
      </c>
    </row>
    <row r="276" ht="22.5" customHeight="1">
      <c r="A276" s="2" t="s">
        <v>1165</v>
      </c>
      <c r="B276" s="12">
        <v>46153.0</v>
      </c>
      <c r="C276" s="13" t="str">
        <f t="shared" si="1"/>
        <v>2026-05</v>
      </c>
      <c r="D276" s="12">
        <v>46178.0</v>
      </c>
      <c r="E276" s="12">
        <v>46175.0</v>
      </c>
      <c r="F276" s="2" t="s">
        <v>74</v>
      </c>
      <c r="G276" s="2" t="str">
        <f>VLOOKUP(F276,Tabela_1[#ALL],2,0)</f>
        <v>EnvioFácil</v>
      </c>
      <c r="H276" s="2" t="str">
        <f>VLOOKUP(F276,Tabela_1[#ALL],3,0)</f>
        <v>ecommerce</v>
      </c>
      <c r="I276" s="2" t="s">
        <v>56</v>
      </c>
      <c r="J276" s="2">
        <v>2.0</v>
      </c>
      <c r="K276" s="14">
        <v>15478.4</v>
      </c>
      <c r="L276" s="14">
        <v>13820.0</v>
      </c>
      <c r="M276" s="14">
        <v>1658.4</v>
      </c>
      <c r="N276" s="14">
        <v>1783.0</v>
      </c>
      <c r="O276" s="14">
        <f t="shared" si="2"/>
        <v>-124.6</v>
      </c>
      <c r="P276" s="2" t="s">
        <v>2597</v>
      </c>
    </row>
    <row r="277" ht="22.5" customHeight="1">
      <c r="A277" s="2" t="s">
        <v>1167</v>
      </c>
      <c r="B277" s="12">
        <v>46153.0</v>
      </c>
      <c r="C277" s="13" t="str">
        <f t="shared" si="1"/>
        <v>2026-05</v>
      </c>
      <c r="D277" s="12">
        <v>46175.0</v>
      </c>
      <c r="E277" s="12">
        <v>46175.0</v>
      </c>
      <c r="F277" s="2" t="s">
        <v>115</v>
      </c>
      <c r="G277" s="2" t="str">
        <f>VLOOKUP(F277,Tabela_1[#ALL],2,0)</f>
        <v>Comercial Bandeirantes</v>
      </c>
      <c r="H277" s="2" t="str">
        <f>VLOOKUP(F277,Tabela_1[#ALL],3,0)</f>
        <v>distribuidor</v>
      </c>
      <c r="I277" s="2" t="s">
        <v>22</v>
      </c>
      <c r="J277" s="2">
        <v>1.0</v>
      </c>
      <c r="K277" s="14">
        <v>10342.8</v>
      </c>
      <c r="L277" s="14">
        <v>7757.1</v>
      </c>
      <c r="M277" s="14">
        <v>2585.7</v>
      </c>
      <c r="N277" s="14">
        <v>5128.0</v>
      </c>
      <c r="O277" s="14">
        <f t="shared" si="2"/>
        <v>-2542.3</v>
      </c>
      <c r="P277" s="2" t="s">
        <v>2597</v>
      </c>
    </row>
    <row r="278" ht="22.5" customHeight="1">
      <c r="A278" s="2" t="s">
        <v>1169</v>
      </c>
      <c r="B278" s="12">
        <v>46153.0</v>
      </c>
      <c r="C278" s="13" t="str">
        <f t="shared" si="1"/>
        <v>2026-05</v>
      </c>
      <c r="D278" s="12">
        <v>46180.0</v>
      </c>
      <c r="E278" s="12">
        <v>46177.0</v>
      </c>
      <c r="F278" s="2" t="s">
        <v>140</v>
      </c>
      <c r="G278" s="2" t="str">
        <f>VLOOKUP(F278,Tabela_1[#ALL],2,0)</f>
        <v>EssenciaPura Comércio</v>
      </c>
      <c r="H278" s="2" t="str">
        <f>VLOOKUP(F278,Tabela_1[#ALL],3,0)</f>
        <v>cosmetico</v>
      </c>
      <c r="I278" s="2" t="s">
        <v>56</v>
      </c>
      <c r="J278" s="2">
        <v>2.0</v>
      </c>
      <c r="K278" s="14">
        <v>18120.4</v>
      </c>
      <c r="L278" s="14">
        <v>14443.2</v>
      </c>
      <c r="M278" s="14">
        <v>3677.2</v>
      </c>
      <c r="N278" s="14">
        <v>2551.0</v>
      </c>
      <c r="O278" s="14">
        <f t="shared" si="2"/>
        <v>1126.2</v>
      </c>
      <c r="P278" s="2" t="s">
        <v>2597</v>
      </c>
    </row>
    <row r="279" ht="22.5" customHeight="1">
      <c r="A279" s="2" t="s">
        <v>1171</v>
      </c>
      <c r="B279" s="12">
        <v>46153.0</v>
      </c>
      <c r="C279" s="13" t="str">
        <f t="shared" si="1"/>
        <v>2026-05</v>
      </c>
      <c r="D279" s="12">
        <v>46179.0</v>
      </c>
      <c r="E279" s="12">
        <v>46179.0</v>
      </c>
      <c r="F279" s="2" t="s">
        <v>161</v>
      </c>
      <c r="G279" s="2" t="str">
        <f>VLOOKUP(F279,Tabela_1[#ALL],2,0)</f>
        <v>Distrib. Litoral Sul Ltda</v>
      </c>
      <c r="H279" s="2" t="str">
        <f>VLOOKUP(F279,Tabela_1[#ALL],3,0)</f>
        <v>distribuidor</v>
      </c>
      <c r="I279" s="2" t="s">
        <v>56</v>
      </c>
      <c r="J279" s="2">
        <v>3.0</v>
      </c>
      <c r="K279" s="14">
        <v>8910.3</v>
      </c>
      <c r="L279" s="14">
        <v>6873.6</v>
      </c>
      <c r="M279" s="14">
        <v>2036.7</v>
      </c>
      <c r="N279" s="14">
        <v>1512.0</v>
      </c>
      <c r="O279" s="14">
        <f t="shared" si="2"/>
        <v>524.7</v>
      </c>
      <c r="P279" s="2" t="s">
        <v>2597</v>
      </c>
    </row>
    <row r="280" ht="22.5" customHeight="1">
      <c r="A280" s="2" t="s">
        <v>1174</v>
      </c>
      <c r="B280" s="12">
        <v>46153.0</v>
      </c>
      <c r="C280" s="13" t="str">
        <f t="shared" si="1"/>
        <v>2026-05</v>
      </c>
      <c r="D280" s="12">
        <v>46175.0</v>
      </c>
      <c r="F280" s="2" t="s">
        <v>187</v>
      </c>
      <c r="G280" s="2" t="str">
        <f>VLOOKUP(F280,Tabela_1[#ALL],2,0)</f>
        <v>Granoma Alimentos EPP</v>
      </c>
      <c r="H280" s="2" t="str">
        <f>VLOOKUP(F280,Tabela_1[#ALL],3,0)</f>
        <v>alimenticio</v>
      </c>
      <c r="I280" s="2" t="s">
        <v>22</v>
      </c>
      <c r="J280" s="2">
        <v>3.0</v>
      </c>
      <c r="K280" s="14">
        <v>18641.2</v>
      </c>
      <c r="L280" s="14">
        <v>15298.7</v>
      </c>
      <c r="M280" s="14">
        <v>3342.5</v>
      </c>
      <c r="N280" s="14">
        <v>1558.0</v>
      </c>
      <c r="O280" s="14">
        <f t="shared" si="2"/>
        <v>1784.5</v>
      </c>
      <c r="P280" s="2" t="s">
        <v>2600</v>
      </c>
    </row>
    <row r="281" ht="22.5" customHeight="1">
      <c r="A281" s="2" t="s">
        <v>1177</v>
      </c>
      <c r="B281" s="12">
        <v>46153.0</v>
      </c>
      <c r="C281" s="13" t="str">
        <f t="shared" si="1"/>
        <v>2026-05</v>
      </c>
      <c r="D281" s="12">
        <v>46168.0</v>
      </c>
      <c r="E281" s="12">
        <v>46169.0</v>
      </c>
      <c r="F281" s="2" t="s">
        <v>195</v>
      </c>
      <c r="G281" s="2" t="str">
        <f>VLOOKUP(F281,Tabela_1[#ALL],2,0)</f>
        <v>Lumen Beauty</v>
      </c>
      <c r="H281" s="2" t="str">
        <f>VLOOKUP(F281,Tabela_1[#ALL],3,0)</f>
        <v>cosmetico</v>
      </c>
      <c r="I281" s="2" t="s">
        <v>43</v>
      </c>
      <c r="J281" s="2">
        <v>2.0</v>
      </c>
      <c r="K281" s="14">
        <v>68319.6</v>
      </c>
      <c r="L281" s="14">
        <v>57267.9</v>
      </c>
      <c r="M281" s="14">
        <v>11051.7</v>
      </c>
      <c r="N281" s="14">
        <v>1062.0</v>
      </c>
      <c r="O281" s="14">
        <f t="shared" si="2"/>
        <v>9989.7</v>
      </c>
      <c r="P281" s="2" t="s">
        <v>2597</v>
      </c>
    </row>
    <row r="282" ht="22.5" customHeight="1">
      <c r="A282" s="2" t="s">
        <v>1181</v>
      </c>
      <c r="B282" s="12">
        <v>46153.0</v>
      </c>
      <c r="C282" s="13" t="str">
        <f t="shared" si="1"/>
        <v>2026-05</v>
      </c>
      <c r="D282" s="12">
        <v>46172.0</v>
      </c>
      <c r="E282" s="12">
        <v>46172.0</v>
      </c>
      <c r="F282" s="2" t="s">
        <v>197</v>
      </c>
      <c r="G282" s="2" t="str">
        <f>VLOOKUP(F282,Tabela_1[#ALL],2,0)</f>
        <v>Sabor Forte Alimentos Indústria</v>
      </c>
      <c r="H282" s="2" t="str">
        <f>VLOOKUP(F282,Tabela_1[#ALL],3,0)</f>
        <v>alimenticio</v>
      </c>
      <c r="I282" s="2" t="s">
        <v>49</v>
      </c>
      <c r="J282" s="2">
        <v>3.0</v>
      </c>
      <c r="K282" s="14">
        <v>15676.8</v>
      </c>
      <c r="L282" s="14">
        <v>12865.8</v>
      </c>
      <c r="M282" s="14">
        <v>2811.0</v>
      </c>
      <c r="N282" s="14">
        <v>2006.0</v>
      </c>
      <c r="O282" s="14">
        <f t="shared" si="2"/>
        <v>805</v>
      </c>
      <c r="P282" s="2" t="s">
        <v>2597</v>
      </c>
    </row>
    <row r="283" ht="22.5" customHeight="1">
      <c r="A283" s="2" t="s">
        <v>1184</v>
      </c>
      <c r="B283" s="12">
        <v>46153.0</v>
      </c>
      <c r="C283" s="13" t="str">
        <f t="shared" si="1"/>
        <v>2026-05</v>
      </c>
      <c r="D283" s="12">
        <v>46178.0</v>
      </c>
      <c r="E283" s="12">
        <v>46180.0</v>
      </c>
      <c r="F283" s="2" t="s">
        <v>251</v>
      </c>
      <c r="G283" s="2" t="str">
        <f>VLOOKUP(F283,Tabela_1[#ALL],2,0)</f>
        <v>Saúde Total Labs S.A.</v>
      </c>
      <c r="H283" s="2" t="str">
        <f>VLOOKUP(F283,Tabela_1[#ALL],3,0)</f>
        <v>farmaceutico</v>
      </c>
      <c r="I283" s="2" t="s">
        <v>49</v>
      </c>
      <c r="J283" s="2">
        <v>1.0</v>
      </c>
      <c r="K283" s="14">
        <v>33234.5</v>
      </c>
      <c r="L283" s="14">
        <v>26076.3</v>
      </c>
      <c r="M283" s="14">
        <v>7158.2</v>
      </c>
      <c r="N283" s="14">
        <v>779.0</v>
      </c>
      <c r="O283" s="14">
        <f t="shared" si="2"/>
        <v>6379.2</v>
      </c>
      <c r="P283" s="2" t="s">
        <v>2597</v>
      </c>
    </row>
    <row r="284" ht="22.5" customHeight="1">
      <c r="A284" s="2" t="s">
        <v>1187</v>
      </c>
      <c r="B284" s="12">
        <v>46154.0</v>
      </c>
      <c r="C284" s="13" t="str">
        <f t="shared" si="1"/>
        <v>2026-05</v>
      </c>
      <c r="D284" s="12">
        <v>46186.0</v>
      </c>
      <c r="E284" s="12">
        <v>46183.0</v>
      </c>
      <c r="F284" s="2" t="s">
        <v>134</v>
      </c>
      <c r="G284" s="2" t="str">
        <f>VLOOKUP(F284,Tabela_1[#ALL],2,0)</f>
        <v>Nutrigrão Cooperativa</v>
      </c>
      <c r="H284" s="2" t="str">
        <f>VLOOKUP(F284,Tabela_1[#ALL],3,0)</f>
        <v>alimenticio</v>
      </c>
      <c r="I284" s="2" t="s">
        <v>91</v>
      </c>
      <c r="J284" s="2">
        <v>3.0</v>
      </c>
      <c r="K284" s="14">
        <v>9612.3</v>
      </c>
      <c r="L284" s="14">
        <v>7968.5</v>
      </c>
      <c r="M284" s="14">
        <v>1643.8</v>
      </c>
      <c r="N284" s="14">
        <v>5648.0</v>
      </c>
      <c r="O284" s="14">
        <f t="shared" si="2"/>
        <v>-4004.2</v>
      </c>
      <c r="P284" s="2" t="s">
        <v>2597</v>
      </c>
    </row>
    <row r="285" ht="22.5" customHeight="1">
      <c r="A285" s="2" t="s">
        <v>1191</v>
      </c>
      <c r="B285" s="12">
        <v>46154.0</v>
      </c>
      <c r="C285" s="13" t="str">
        <f t="shared" si="1"/>
        <v>2026-05</v>
      </c>
      <c r="D285" s="12">
        <v>46175.0</v>
      </c>
      <c r="E285" s="12">
        <v>46175.0</v>
      </c>
      <c r="F285" s="2" t="s">
        <v>167</v>
      </c>
      <c r="G285" s="2" t="str">
        <f>VLOOKUP(F285,Tabela_1[#ALL],2,0)</f>
        <v>Granoma Alimentos S.A.</v>
      </c>
      <c r="H285" s="2" t="str">
        <f>VLOOKUP(F285,Tabela_1[#ALL],3,0)</f>
        <v>alimenticio</v>
      </c>
      <c r="I285" s="2" t="s">
        <v>56</v>
      </c>
      <c r="J285" s="2">
        <v>3.0</v>
      </c>
      <c r="K285" s="14">
        <v>48805.4</v>
      </c>
      <c r="L285" s="14">
        <v>40864.8</v>
      </c>
      <c r="M285" s="14">
        <v>7940.6</v>
      </c>
      <c r="N285" s="14">
        <v>3886.0</v>
      </c>
      <c r="O285" s="14">
        <f t="shared" si="2"/>
        <v>4054.6</v>
      </c>
      <c r="P285" s="2" t="s">
        <v>2597</v>
      </c>
    </row>
    <row r="286" ht="22.5" customHeight="1">
      <c r="A286" s="2" t="s">
        <v>1196</v>
      </c>
      <c r="B286" s="12">
        <v>46155.0</v>
      </c>
      <c r="C286" s="13" t="str">
        <f t="shared" si="1"/>
        <v>2026-05</v>
      </c>
      <c r="D286" s="12">
        <v>46175.0</v>
      </c>
      <c r="E286" s="12">
        <v>46173.0</v>
      </c>
      <c r="F286" s="2" t="s">
        <v>28</v>
      </c>
      <c r="G286" s="2" t="str">
        <f>VLOOKUP(F286,Tabela_1[#ALL],2,0)</f>
        <v>CoopFrigo</v>
      </c>
      <c r="H286" s="2" t="str">
        <f>VLOOKUP(F286,Tabela_1[#ALL],3,0)</f>
        <v>alimenticio</v>
      </c>
      <c r="I286" s="2" t="s">
        <v>16</v>
      </c>
      <c r="J286" s="2">
        <v>1.0</v>
      </c>
      <c r="K286" s="14">
        <v>260416.8</v>
      </c>
      <c r="L286" s="14">
        <v>210813.6</v>
      </c>
      <c r="M286" s="14">
        <v>49603.2</v>
      </c>
      <c r="N286" s="14">
        <v>1782.0</v>
      </c>
      <c r="O286" s="14">
        <f t="shared" si="2"/>
        <v>47821.2</v>
      </c>
      <c r="P286" s="2" t="s">
        <v>2597</v>
      </c>
    </row>
    <row r="287" ht="22.5" customHeight="1">
      <c r="A287" s="2" t="s">
        <v>1200</v>
      </c>
      <c r="B287" s="12">
        <v>46155.0</v>
      </c>
      <c r="C287" s="13" t="str">
        <f t="shared" si="1"/>
        <v>2026-05</v>
      </c>
      <c r="D287" s="12">
        <v>46175.0</v>
      </c>
      <c r="E287" s="12">
        <v>46173.0</v>
      </c>
      <c r="F287" s="2" t="s">
        <v>113</v>
      </c>
      <c r="G287" s="2" t="str">
        <f>VLOOKUP(F287,Tabela_1[#ALL],2,0)</f>
        <v>Sabor Forte Alimentos</v>
      </c>
      <c r="H287" s="2" t="str">
        <f>VLOOKUP(F287,Tabela_1[#ALL],3,0)</f>
        <v>alimenticio</v>
      </c>
      <c r="I287" s="2" t="s">
        <v>39</v>
      </c>
      <c r="J287" s="2">
        <v>3.0</v>
      </c>
      <c r="K287" s="14">
        <v>18894.2</v>
      </c>
      <c r="L287" s="14">
        <v>15506.3</v>
      </c>
      <c r="M287" s="14">
        <v>3387.9</v>
      </c>
      <c r="N287" s="14">
        <v>3383.0</v>
      </c>
      <c r="O287" s="14">
        <f t="shared" si="2"/>
        <v>4.9</v>
      </c>
      <c r="P287" s="2" t="s">
        <v>2597</v>
      </c>
    </row>
    <row r="288" ht="22.5" customHeight="1">
      <c r="A288" s="2" t="s">
        <v>1203</v>
      </c>
      <c r="B288" s="12">
        <v>46155.0</v>
      </c>
      <c r="C288" s="13" t="str">
        <f t="shared" si="1"/>
        <v>2026-05</v>
      </c>
      <c r="D288" s="12">
        <v>46179.0</v>
      </c>
      <c r="F288" s="2" t="s">
        <v>247</v>
      </c>
      <c r="G288" s="2" t="str">
        <f>VLOOKUP(F288,Tabela_1[#ALL],2,0)</f>
        <v>MedPlus Indústria Cooperativa</v>
      </c>
      <c r="H288" s="2" t="str">
        <f>VLOOKUP(F288,Tabela_1[#ALL],3,0)</f>
        <v>farmaceutico</v>
      </c>
      <c r="I288" s="2" t="s">
        <v>49</v>
      </c>
      <c r="J288" s="2">
        <v>2.0</v>
      </c>
      <c r="K288" s="14">
        <v>6377.0</v>
      </c>
      <c r="L288" s="14">
        <v>5428.1</v>
      </c>
      <c r="M288" s="14">
        <v>948.9</v>
      </c>
      <c r="N288" s="14">
        <v>2040.0</v>
      </c>
      <c r="O288" s="14">
        <f t="shared" si="2"/>
        <v>-1091.1</v>
      </c>
      <c r="P288" s="2" t="s">
        <v>2600</v>
      </c>
    </row>
    <row r="289" ht="22.5" customHeight="1">
      <c r="A289" s="2" t="s">
        <v>1206</v>
      </c>
      <c r="B289" s="12">
        <v>46155.0</v>
      </c>
      <c r="C289" s="13" t="str">
        <f t="shared" si="1"/>
        <v>2026-05</v>
      </c>
      <c r="D289" s="12">
        <v>46188.0</v>
      </c>
      <c r="E289" s="12">
        <v>46188.0</v>
      </c>
      <c r="F289" s="2" t="s">
        <v>257</v>
      </c>
      <c r="G289" s="2" t="str">
        <f>VLOOKUP(F289,Tabela_1[#ALL],2,0)</f>
        <v>Mercado Vale Ltda (Londrina)</v>
      </c>
      <c r="H289" s="2" t="str">
        <f>VLOOKUP(F289,Tabela_1[#ALL],3,0)</f>
        <v>varejo</v>
      </c>
      <c r="I289" s="2" t="s">
        <v>39</v>
      </c>
      <c r="J289" s="2">
        <v>3.0</v>
      </c>
      <c r="K289" s="14">
        <v>4914.0</v>
      </c>
      <c r="L289" s="14">
        <v>4210.2</v>
      </c>
      <c r="M289" s="14">
        <v>703.8</v>
      </c>
      <c r="N289" s="14">
        <v>2930.0</v>
      </c>
      <c r="O289" s="14">
        <f t="shared" si="2"/>
        <v>-2226.2</v>
      </c>
      <c r="P289" s="2" t="s">
        <v>2597</v>
      </c>
    </row>
    <row r="290" ht="22.5" customHeight="1">
      <c r="A290" s="2" t="s">
        <v>1211</v>
      </c>
      <c r="B290" s="12">
        <v>46156.0</v>
      </c>
      <c r="C290" s="13" t="str">
        <f t="shared" si="1"/>
        <v>2026-05</v>
      </c>
      <c r="D290" s="12">
        <v>46184.0</v>
      </c>
      <c r="E290" s="12">
        <v>46182.0</v>
      </c>
      <c r="F290" s="2" t="s">
        <v>40</v>
      </c>
      <c r="G290" s="2" t="str">
        <f>VLOOKUP(F290,Tabela_1[#ALL],2,0)</f>
        <v>Farmavida</v>
      </c>
      <c r="H290" s="2" t="str">
        <f>VLOOKUP(F290,Tabela_1[#ALL],3,0)</f>
        <v>farmaceutico</v>
      </c>
      <c r="I290" s="2" t="s">
        <v>43</v>
      </c>
      <c r="J290" s="2">
        <v>2.0</v>
      </c>
      <c r="K290" s="14">
        <v>83864.2</v>
      </c>
      <c r="L290" s="14">
        <v>64395.6</v>
      </c>
      <c r="M290" s="14">
        <v>19468.6</v>
      </c>
      <c r="N290" s="14">
        <v>8991.0</v>
      </c>
      <c r="O290" s="14">
        <f t="shared" si="2"/>
        <v>10477.6</v>
      </c>
      <c r="P290" s="2" t="s">
        <v>2597</v>
      </c>
    </row>
    <row r="291" ht="22.5" customHeight="1">
      <c r="A291" s="2" t="s">
        <v>1217</v>
      </c>
      <c r="B291" s="12">
        <v>46156.0</v>
      </c>
      <c r="C291" s="13" t="str">
        <f t="shared" si="1"/>
        <v>2026-05</v>
      </c>
      <c r="D291" s="12">
        <v>46182.0</v>
      </c>
      <c r="E291" s="12">
        <v>46183.0</v>
      </c>
      <c r="F291" s="2" t="s">
        <v>88</v>
      </c>
      <c r="G291" s="2" t="str">
        <f>VLOOKUP(F291,Tabela_1[#ALL],2,0)</f>
        <v>Atacadão Centro Oeste</v>
      </c>
      <c r="H291" s="2" t="str">
        <f>VLOOKUP(F291,Tabela_1[#ALL],3,0)</f>
        <v>distribuidor</v>
      </c>
      <c r="I291" s="2" t="s">
        <v>91</v>
      </c>
      <c r="J291" s="2">
        <v>2.0</v>
      </c>
      <c r="K291" s="14">
        <v>7102.2</v>
      </c>
      <c r="L291" s="14">
        <v>5661.0</v>
      </c>
      <c r="M291" s="14">
        <v>1441.2</v>
      </c>
      <c r="N291" s="14">
        <v>650.0</v>
      </c>
      <c r="O291" s="14">
        <f t="shared" si="2"/>
        <v>791.2</v>
      </c>
      <c r="P291" s="2" t="s">
        <v>2597</v>
      </c>
    </row>
    <row r="292" ht="22.5" customHeight="1">
      <c r="A292" s="2" t="s">
        <v>1220</v>
      </c>
      <c r="B292" s="12">
        <v>46156.0</v>
      </c>
      <c r="C292" s="13" t="str">
        <f t="shared" si="1"/>
        <v>2026-05</v>
      </c>
      <c r="D292" s="12">
        <v>46184.0</v>
      </c>
      <c r="F292" s="2" t="s">
        <v>98</v>
      </c>
      <c r="G292" s="2" t="str">
        <f>VLOOKUP(F292,Tabela_1[#ALL],2,0)</f>
        <v>Atacarejo Maringá</v>
      </c>
      <c r="H292" s="2" t="str">
        <f>VLOOKUP(F292,Tabela_1[#ALL],3,0)</f>
        <v>distribuidor</v>
      </c>
      <c r="I292" s="2" t="s">
        <v>43</v>
      </c>
      <c r="J292" s="2">
        <v>1.0</v>
      </c>
      <c r="K292" s="14">
        <v>6048.0</v>
      </c>
      <c r="L292" s="14">
        <v>4492.8</v>
      </c>
      <c r="M292" s="14">
        <v>1555.2</v>
      </c>
      <c r="N292" s="14">
        <v>4177.0</v>
      </c>
      <c r="O292" s="14">
        <f t="shared" si="2"/>
        <v>-2621.8</v>
      </c>
      <c r="P292" s="2" t="s">
        <v>2600</v>
      </c>
    </row>
    <row r="293" ht="22.5" customHeight="1">
      <c r="A293" s="2" t="s">
        <v>1222</v>
      </c>
      <c r="B293" s="12">
        <v>46156.0</v>
      </c>
      <c r="C293" s="13" t="str">
        <f t="shared" si="1"/>
        <v>2026-05</v>
      </c>
      <c r="D293" s="12">
        <v>46187.0</v>
      </c>
      <c r="E293" s="12">
        <v>46188.0</v>
      </c>
      <c r="F293" s="2" t="s">
        <v>113</v>
      </c>
      <c r="G293" s="2" t="str">
        <f>VLOOKUP(F293,Tabela_1[#ALL],2,0)</f>
        <v>Sabor Forte Alimentos</v>
      </c>
      <c r="H293" s="2" t="str">
        <f>VLOOKUP(F293,Tabela_1[#ALL],3,0)</f>
        <v>alimenticio</v>
      </c>
      <c r="I293" s="2" t="s">
        <v>39</v>
      </c>
      <c r="J293" s="2">
        <v>2.0</v>
      </c>
      <c r="K293" s="14">
        <v>20035.4</v>
      </c>
      <c r="L293" s="14">
        <v>17054.0</v>
      </c>
      <c r="M293" s="14">
        <v>2981.4</v>
      </c>
      <c r="N293" s="14">
        <v>1919.0</v>
      </c>
      <c r="O293" s="14">
        <f t="shared" si="2"/>
        <v>1062.4</v>
      </c>
      <c r="P293" s="2" t="s">
        <v>2597</v>
      </c>
    </row>
    <row r="294" ht="22.5" customHeight="1">
      <c r="A294" s="2" t="s">
        <v>1225</v>
      </c>
      <c r="B294" s="12">
        <v>46156.0</v>
      </c>
      <c r="C294" s="13" t="str">
        <f t="shared" si="1"/>
        <v>2026-05</v>
      </c>
      <c r="D294" s="12">
        <v>46173.0</v>
      </c>
      <c r="E294" s="12">
        <v>46175.0</v>
      </c>
      <c r="F294" s="2" t="s">
        <v>115</v>
      </c>
      <c r="G294" s="2" t="str">
        <f>VLOOKUP(F294,Tabela_1[#ALL],2,0)</f>
        <v>Comercial Bandeirantes</v>
      </c>
      <c r="H294" s="2" t="str">
        <f>VLOOKUP(F294,Tabela_1[#ALL],3,0)</f>
        <v>distribuidor</v>
      </c>
      <c r="I294" s="2" t="s">
        <v>22</v>
      </c>
      <c r="J294" s="2">
        <v>2.0</v>
      </c>
      <c r="K294" s="14">
        <v>8692.4</v>
      </c>
      <c r="L294" s="14">
        <v>7028.1</v>
      </c>
      <c r="M294" s="14">
        <v>1664.3</v>
      </c>
      <c r="N294" s="14">
        <v>5914.0</v>
      </c>
      <c r="O294" s="14">
        <f t="shared" si="2"/>
        <v>-4249.7</v>
      </c>
      <c r="P294" s="2" t="s">
        <v>2597</v>
      </c>
    </row>
    <row r="295" ht="22.5" customHeight="1">
      <c r="A295" s="2" t="s">
        <v>1228</v>
      </c>
      <c r="B295" s="12">
        <v>46156.0</v>
      </c>
      <c r="C295" s="13" t="str">
        <f t="shared" si="1"/>
        <v>2026-05</v>
      </c>
      <c r="D295" s="12">
        <v>46183.0</v>
      </c>
      <c r="F295" s="2" t="s">
        <v>121</v>
      </c>
      <c r="G295" s="2" t="str">
        <f>VLOOKUP(F295,Tabela_1[#ALL],2,0)</f>
        <v>Distrib. Tropical Ltda</v>
      </c>
      <c r="H295" s="2" t="str">
        <f>VLOOKUP(F295,Tabela_1[#ALL],3,0)</f>
        <v>distribuidor</v>
      </c>
      <c r="I295" s="2" t="s">
        <v>91</v>
      </c>
      <c r="J295" s="2">
        <v>2.0</v>
      </c>
      <c r="K295" s="14">
        <v>10073.3</v>
      </c>
      <c r="L295" s="14">
        <v>8029.1</v>
      </c>
      <c r="M295" s="14">
        <v>2044.2</v>
      </c>
      <c r="N295" s="14">
        <v>4959.0</v>
      </c>
      <c r="O295" s="14">
        <f t="shared" si="2"/>
        <v>-2914.8</v>
      </c>
      <c r="P295" s="2" t="s">
        <v>2601</v>
      </c>
    </row>
    <row r="296" ht="22.5" customHeight="1">
      <c r="A296" s="2" t="s">
        <v>1230</v>
      </c>
      <c r="B296" s="12">
        <v>46156.0</v>
      </c>
      <c r="C296" s="13" t="str">
        <f t="shared" si="1"/>
        <v>2026-05</v>
      </c>
      <c r="D296" s="12">
        <v>46188.0</v>
      </c>
      <c r="E296" s="12">
        <v>46190.0</v>
      </c>
      <c r="F296" s="2" t="s">
        <v>151</v>
      </c>
      <c r="G296" s="2" t="str">
        <f>VLOOKUP(F296,Tabela_1[#ALL],2,0)</f>
        <v>Varejo Familiar Ltda (Foz do Iguaçu)</v>
      </c>
      <c r="H296" s="2" t="str">
        <f>VLOOKUP(F296,Tabela_1[#ALL],3,0)</f>
        <v>varejo</v>
      </c>
      <c r="I296" s="2" t="s">
        <v>39</v>
      </c>
      <c r="J296" s="2">
        <v>1.0</v>
      </c>
      <c r="K296" s="14">
        <v>14616.6</v>
      </c>
      <c r="L296" s="14">
        <v>12252.15</v>
      </c>
      <c r="M296" s="14">
        <v>2364.45</v>
      </c>
      <c r="N296" s="14">
        <v>589.0</v>
      </c>
      <c r="O296" s="14">
        <f t="shared" si="2"/>
        <v>1775.45</v>
      </c>
      <c r="P296" s="2" t="s">
        <v>2597</v>
      </c>
    </row>
    <row r="297" ht="22.5" customHeight="1">
      <c r="A297" s="2" t="s">
        <v>1234</v>
      </c>
      <c r="B297" s="12">
        <v>46156.0</v>
      </c>
      <c r="C297" s="13" t="str">
        <f t="shared" si="1"/>
        <v>2026-05</v>
      </c>
      <c r="D297" s="12">
        <v>46178.0</v>
      </c>
      <c r="E297" s="12">
        <v>46178.0</v>
      </c>
      <c r="F297" s="2" t="s">
        <v>161</v>
      </c>
      <c r="G297" s="2" t="str">
        <f>VLOOKUP(F297,Tabela_1[#ALL],2,0)</f>
        <v>Distrib. Litoral Sul Ltda</v>
      </c>
      <c r="H297" s="2" t="str">
        <f>VLOOKUP(F297,Tabela_1[#ALL],3,0)</f>
        <v>distribuidor</v>
      </c>
      <c r="I297" s="2" t="s">
        <v>56</v>
      </c>
      <c r="J297" s="2">
        <v>3.0</v>
      </c>
      <c r="K297" s="14">
        <v>4819.2</v>
      </c>
      <c r="L297" s="14">
        <v>3775.6</v>
      </c>
      <c r="M297" s="14">
        <v>1043.6</v>
      </c>
      <c r="N297" s="14">
        <v>1113.0</v>
      </c>
      <c r="O297" s="14">
        <f t="shared" si="2"/>
        <v>-69.4</v>
      </c>
      <c r="P297" s="2" t="s">
        <v>2597</v>
      </c>
    </row>
    <row r="298" ht="22.5" customHeight="1">
      <c r="A298" s="2" t="s">
        <v>1239</v>
      </c>
      <c r="B298" s="12">
        <v>46156.0</v>
      </c>
      <c r="C298" s="13" t="str">
        <f t="shared" si="1"/>
        <v>2026-05</v>
      </c>
      <c r="D298" s="12">
        <v>46176.0</v>
      </c>
      <c r="E298" s="12">
        <v>46173.0</v>
      </c>
      <c r="F298" s="2" t="s">
        <v>183</v>
      </c>
      <c r="G298" s="2" t="str">
        <f>VLOOKUP(F298,Tabela_1[#ALL],2,0)</f>
        <v>Distrib. Litoral Sul S.A.</v>
      </c>
      <c r="H298" s="2" t="str">
        <f>VLOOKUP(F298,Tabela_1[#ALL],3,0)</f>
        <v>distribuidor</v>
      </c>
      <c r="I298" s="2" t="s">
        <v>39</v>
      </c>
      <c r="J298" s="2">
        <v>2.0</v>
      </c>
      <c r="K298" s="14">
        <v>30059.4</v>
      </c>
      <c r="L298" s="14">
        <v>24333.8</v>
      </c>
      <c r="M298" s="14">
        <v>5725.6</v>
      </c>
      <c r="N298" s="14">
        <v>1757.0</v>
      </c>
      <c r="O298" s="14">
        <f t="shared" si="2"/>
        <v>3968.6</v>
      </c>
      <c r="P298" s="2" t="s">
        <v>2597</v>
      </c>
    </row>
    <row r="299" ht="22.5" customHeight="1">
      <c r="A299" s="2" t="s">
        <v>1244</v>
      </c>
      <c r="B299" s="12">
        <v>46156.0</v>
      </c>
      <c r="C299" s="13" t="str">
        <f t="shared" si="1"/>
        <v>2026-05</v>
      </c>
      <c r="D299" s="12">
        <v>46175.0</v>
      </c>
      <c r="E299" s="12">
        <v>46172.0</v>
      </c>
      <c r="F299" s="2" t="s">
        <v>237</v>
      </c>
      <c r="G299" s="2" t="str">
        <f>VLOOKUP(F299,Tabela_1[#ALL],2,0)</f>
        <v>Sabor Forte Alimentos Comércio</v>
      </c>
      <c r="H299" s="2" t="str">
        <f>VLOOKUP(F299,Tabela_1[#ALL],3,0)</f>
        <v>alimenticio</v>
      </c>
      <c r="I299" s="2" t="s">
        <v>22</v>
      </c>
      <c r="J299" s="2">
        <v>3.0</v>
      </c>
      <c r="K299" s="14">
        <v>4648.0</v>
      </c>
      <c r="L299" s="14">
        <v>4150.0</v>
      </c>
      <c r="M299" s="14">
        <v>498.0</v>
      </c>
      <c r="N299" s="14">
        <v>1739.0</v>
      </c>
      <c r="O299" s="14">
        <f t="shared" si="2"/>
        <v>-1241</v>
      </c>
      <c r="P299" s="2" t="s">
        <v>2597</v>
      </c>
    </row>
    <row r="300" ht="22.5" customHeight="1">
      <c r="A300" s="2" t="s">
        <v>1250</v>
      </c>
      <c r="B300" s="12">
        <v>46156.0</v>
      </c>
      <c r="C300" s="13" t="str">
        <f t="shared" si="1"/>
        <v>2026-05</v>
      </c>
      <c r="D300" s="12">
        <v>46176.0</v>
      </c>
      <c r="E300" s="12">
        <v>46177.0</v>
      </c>
      <c r="F300" s="2" t="s">
        <v>241</v>
      </c>
      <c r="G300" s="2" t="str">
        <f>VLOOKUP(F300,Tabela_1[#ALL],2,0)</f>
        <v>EssenciaPura EPP (Cascavel)</v>
      </c>
      <c r="H300" s="2" t="str">
        <f>VLOOKUP(F300,Tabela_1[#ALL],3,0)</f>
        <v>cosmetico</v>
      </c>
      <c r="I300" s="2" t="s">
        <v>39</v>
      </c>
      <c r="J300" s="2">
        <v>2.0</v>
      </c>
      <c r="K300" s="14">
        <v>5853.4</v>
      </c>
      <c r="L300" s="14">
        <v>4982.3</v>
      </c>
      <c r="M300" s="14">
        <v>871.1</v>
      </c>
      <c r="N300" s="14">
        <v>610.0</v>
      </c>
      <c r="O300" s="14">
        <f t="shared" si="2"/>
        <v>261.1</v>
      </c>
      <c r="P300" s="2" t="s">
        <v>2597</v>
      </c>
    </row>
    <row r="301" ht="22.5" customHeight="1">
      <c r="A301" s="2" t="s">
        <v>1253</v>
      </c>
      <c r="B301" s="12">
        <v>46156.0</v>
      </c>
      <c r="C301" s="13" t="str">
        <f t="shared" si="1"/>
        <v>2026-05</v>
      </c>
      <c r="D301" s="12">
        <v>46191.0</v>
      </c>
      <c r="E301" s="12">
        <v>46190.0</v>
      </c>
      <c r="F301" s="2" t="s">
        <v>255</v>
      </c>
      <c r="G301" s="2" t="str">
        <f>VLOOKUP(F301,Tabela_1[#ALL],2,0)</f>
        <v>Lumen Beauty EPP (Apucarana)</v>
      </c>
      <c r="H301" s="2" t="str">
        <f>VLOOKUP(F301,Tabela_1[#ALL],3,0)</f>
        <v>cosmetico</v>
      </c>
      <c r="I301" s="2" t="s">
        <v>39</v>
      </c>
      <c r="J301" s="2">
        <v>3.0</v>
      </c>
      <c r="K301" s="14">
        <v>45063.2</v>
      </c>
      <c r="L301" s="14">
        <v>35097.3</v>
      </c>
      <c r="M301" s="14">
        <v>9965.9</v>
      </c>
      <c r="N301" s="14">
        <v>2237.0</v>
      </c>
      <c r="O301" s="14">
        <f t="shared" si="2"/>
        <v>7728.9</v>
      </c>
      <c r="P301" s="2" t="s">
        <v>2597</v>
      </c>
    </row>
    <row r="302" ht="22.5" customHeight="1">
      <c r="A302" s="2" t="s">
        <v>1259</v>
      </c>
      <c r="B302" s="12">
        <v>46157.0</v>
      </c>
      <c r="C302" s="13" t="str">
        <f t="shared" si="1"/>
        <v>2026-05</v>
      </c>
      <c r="D302" s="12">
        <v>46189.0</v>
      </c>
      <c r="E302" s="12">
        <v>46190.0</v>
      </c>
      <c r="F302" s="2" t="s">
        <v>28</v>
      </c>
      <c r="G302" s="2" t="str">
        <f>VLOOKUP(F302,Tabela_1[#ALL],2,0)</f>
        <v>CoopFrigo</v>
      </c>
      <c r="H302" s="2" t="str">
        <f>VLOOKUP(F302,Tabela_1[#ALL],3,0)</f>
        <v>alimenticio</v>
      </c>
      <c r="I302" s="2" t="s">
        <v>16</v>
      </c>
      <c r="J302" s="2">
        <v>2.0</v>
      </c>
      <c r="K302" s="14">
        <v>68689.4</v>
      </c>
      <c r="L302" s="14">
        <v>54750.2</v>
      </c>
      <c r="M302" s="14">
        <v>13939.2</v>
      </c>
      <c r="N302" s="14">
        <v>2306.0</v>
      </c>
      <c r="O302" s="14">
        <f t="shared" si="2"/>
        <v>11633.2</v>
      </c>
      <c r="P302" s="2" t="s">
        <v>2597</v>
      </c>
    </row>
    <row r="303" ht="22.5" customHeight="1">
      <c r="A303" s="2" t="s">
        <v>1263</v>
      </c>
      <c r="B303" s="12">
        <v>46157.0</v>
      </c>
      <c r="C303" s="13" t="str">
        <f t="shared" si="1"/>
        <v>2026-05</v>
      </c>
      <c r="D303" s="12">
        <v>46172.0</v>
      </c>
      <c r="E303" s="12">
        <v>46171.0</v>
      </c>
      <c r="F303" s="2" t="s">
        <v>31</v>
      </c>
      <c r="G303" s="2" t="str">
        <f>VLOOKUP(F303,Tabela_1[#ALL],2,0)</f>
        <v>Distribuidora Sul PR</v>
      </c>
      <c r="H303" s="2" t="str">
        <f>VLOOKUP(F303,Tabela_1[#ALL],3,0)</f>
        <v>distribuidor</v>
      </c>
      <c r="I303" s="2" t="s">
        <v>16</v>
      </c>
      <c r="J303" s="2">
        <v>1.0</v>
      </c>
      <c r="K303" s="14">
        <v>59060.4</v>
      </c>
      <c r="L303" s="14">
        <v>52732.5</v>
      </c>
      <c r="M303" s="14">
        <v>6327.9</v>
      </c>
      <c r="N303" s="14">
        <v>8911.0</v>
      </c>
      <c r="O303" s="14">
        <f t="shared" si="2"/>
        <v>-2583.1</v>
      </c>
      <c r="P303" s="2" t="s">
        <v>2597</v>
      </c>
    </row>
    <row r="304" ht="22.5" customHeight="1">
      <c r="A304" s="2" t="s">
        <v>1266</v>
      </c>
      <c r="B304" s="12">
        <v>46157.0</v>
      </c>
      <c r="C304" s="13" t="str">
        <f t="shared" si="1"/>
        <v>2026-05</v>
      </c>
      <c r="D304" s="12">
        <v>46192.0</v>
      </c>
      <c r="E304" s="12">
        <v>46194.0</v>
      </c>
      <c r="F304" s="2" t="s">
        <v>57</v>
      </c>
      <c r="G304" s="2" t="str">
        <f>VLOOKUP(F304,Tabela_1[#ALL],2,0)</f>
        <v>Distribuidora Oeste</v>
      </c>
      <c r="H304" s="2" t="str">
        <f>VLOOKUP(F304,Tabela_1[#ALL],3,0)</f>
        <v>distribuidor</v>
      </c>
      <c r="I304" s="2" t="s">
        <v>39</v>
      </c>
      <c r="J304" s="2">
        <v>3.0</v>
      </c>
      <c r="K304" s="14">
        <v>64775.2</v>
      </c>
      <c r="L304" s="14">
        <v>57835.0</v>
      </c>
      <c r="M304" s="14">
        <v>6940.2</v>
      </c>
      <c r="N304" s="14">
        <v>175.0</v>
      </c>
      <c r="O304" s="14">
        <f t="shared" si="2"/>
        <v>6765.2</v>
      </c>
      <c r="P304" s="2" t="s">
        <v>2597</v>
      </c>
    </row>
    <row r="305" ht="22.5" customHeight="1">
      <c r="A305" s="2" t="s">
        <v>1270</v>
      </c>
      <c r="B305" s="12">
        <v>46157.0</v>
      </c>
      <c r="C305" s="13" t="str">
        <f t="shared" si="1"/>
        <v>2026-05</v>
      </c>
      <c r="D305" s="12">
        <v>46176.0</v>
      </c>
      <c r="E305" s="12">
        <v>46178.0</v>
      </c>
      <c r="F305" s="2" t="s">
        <v>130</v>
      </c>
      <c r="G305" s="2" t="str">
        <f>VLOOKUP(F305,Tabela_1[#ALL],2,0)</f>
        <v>PackExpress Cooperativa</v>
      </c>
      <c r="H305" s="2" t="str">
        <f>VLOOKUP(F305,Tabela_1[#ALL],3,0)</f>
        <v>ecommerce</v>
      </c>
      <c r="I305" s="2" t="s">
        <v>39</v>
      </c>
      <c r="J305" s="2">
        <v>2.0</v>
      </c>
      <c r="K305" s="14">
        <v>28072.8</v>
      </c>
      <c r="L305" s="14">
        <v>25065.0</v>
      </c>
      <c r="M305" s="14">
        <v>3007.8</v>
      </c>
      <c r="N305" s="14">
        <v>3382.0</v>
      </c>
      <c r="O305" s="14">
        <f t="shared" si="2"/>
        <v>-374.2</v>
      </c>
      <c r="P305" s="2" t="s">
        <v>2597</v>
      </c>
    </row>
    <row r="306" ht="22.5" customHeight="1">
      <c r="A306" s="2" t="s">
        <v>1274</v>
      </c>
      <c r="B306" s="12">
        <v>46157.0</v>
      </c>
      <c r="C306" s="13" t="str">
        <f t="shared" si="1"/>
        <v>2026-05</v>
      </c>
      <c r="D306" s="12">
        <v>46185.0</v>
      </c>
      <c r="E306" s="12">
        <v>46186.0</v>
      </c>
      <c r="F306" s="2" t="s">
        <v>134</v>
      </c>
      <c r="G306" s="2" t="str">
        <f>VLOOKUP(F306,Tabela_1[#ALL],2,0)</f>
        <v>Nutrigrão Cooperativa</v>
      </c>
      <c r="H306" s="2" t="str">
        <f>VLOOKUP(F306,Tabela_1[#ALL],3,0)</f>
        <v>alimenticio</v>
      </c>
      <c r="I306" s="2" t="s">
        <v>91</v>
      </c>
      <c r="J306" s="2">
        <v>1.0</v>
      </c>
      <c r="K306" s="14">
        <v>5429.2</v>
      </c>
      <c r="L306" s="14">
        <v>4847.5</v>
      </c>
      <c r="M306" s="14">
        <v>581.7</v>
      </c>
      <c r="N306" s="14">
        <v>5668.0</v>
      </c>
      <c r="O306" s="14">
        <f t="shared" si="2"/>
        <v>-5086.3</v>
      </c>
      <c r="P306" s="2" t="s">
        <v>2597</v>
      </c>
    </row>
    <row r="307" ht="22.5" customHeight="1">
      <c r="A307" s="2" t="s">
        <v>1276</v>
      </c>
      <c r="B307" s="12">
        <v>46157.0</v>
      </c>
      <c r="C307" s="13" t="str">
        <f t="shared" si="1"/>
        <v>2026-05</v>
      </c>
      <c r="D307" s="12">
        <v>46185.0</v>
      </c>
      <c r="F307" s="2" t="s">
        <v>187</v>
      </c>
      <c r="G307" s="2" t="str">
        <f>VLOOKUP(F307,Tabela_1[#ALL],2,0)</f>
        <v>Granoma Alimentos EPP</v>
      </c>
      <c r="H307" s="2" t="str">
        <f>VLOOKUP(F307,Tabela_1[#ALL],3,0)</f>
        <v>alimenticio</v>
      </c>
      <c r="I307" s="2" t="s">
        <v>22</v>
      </c>
      <c r="J307" s="2">
        <v>3.0</v>
      </c>
      <c r="K307" s="14">
        <v>17926.7</v>
      </c>
      <c r="L307" s="14">
        <v>15359.4</v>
      </c>
      <c r="M307" s="14">
        <v>2567.3</v>
      </c>
      <c r="N307" s="14">
        <v>1608.0</v>
      </c>
      <c r="O307" s="14">
        <f t="shared" si="2"/>
        <v>959.3</v>
      </c>
      <c r="P307" s="2" t="s">
        <v>2598</v>
      </c>
    </row>
    <row r="308" ht="22.5" customHeight="1">
      <c r="A308" s="2" t="s">
        <v>1280</v>
      </c>
      <c r="B308" s="12">
        <v>46157.0</v>
      </c>
      <c r="C308" s="13" t="str">
        <f t="shared" si="1"/>
        <v>2026-05</v>
      </c>
      <c r="D308" s="12">
        <v>46175.0</v>
      </c>
      <c r="E308" s="12">
        <v>46172.0</v>
      </c>
      <c r="F308" s="2" t="s">
        <v>187</v>
      </c>
      <c r="G308" s="2" t="str">
        <f>VLOOKUP(F308,Tabela_1[#ALL],2,0)</f>
        <v>Granoma Alimentos EPP</v>
      </c>
      <c r="H308" s="2" t="str">
        <f>VLOOKUP(F308,Tabela_1[#ALL],3,0)</f>
        <v>alimenticio</v>
      </c>
      <c r="I308" s="2" t="s">
        <v>22</v>
      </c>
      <c r="J308" s="2">
        <v>3.0</v>
      </c>
      <c r="K308" s="14">
        <v>10752.3</v>
      </c>
      <c r="L308" s="14">
        <v>8913.7</v>
      </c>
      <c r="M308" s="14">
        <v>1838.6</v>
      </c>
      <c r="N308" s="14">
        <v>1771.0</v>
      </c>
      <c r="O308" s="14">
        <f t="shared" si="2"/>
        <v>67.6</v>
      </c>
      <c r="P308" s="2" t="s">
        <v>2597</v>
      </c>
    </row>
    <row r="309" ht="22.5" customHeight="1">
      <c r="A309" s="2" t="s">
        <v>1283</v>
      </c>
      <c r="B309" s="12">
        <v>46157.0</v>
      </c>
      <c r="C309" s="13" t="str">
        <f t="shared" si="1"/>
        <v>2026-05</v>
      </c>
      <c r="D309" s="12">
        <v>46180.0</v>
      </c>
      <c r="E309" s="12">
        <v>46183.0</v>
      </c>
      <c r="F309" s="2" t="s">
        <v>209</v>
      </c>
      <c r="G309" s="2" t="str">
        <f>VLOOKUP(F309,Tabela_1[#ALL],2,0)</f>
        <v>Ciência da Vida Farma ME</v>
      </c>
      <c r="H309" s="2" t="str">
        <f>VLOOKUP(F309,Tabela_1[#ALL],3,0)</f>
        <v>farmaceutico</v>
      </c>
      <c r="I309" s="2" t="s">
        <v>49</v>
      </c>
      <c r="J309" s="2">
        <v>3.0</v>
      </c>
      <c r="K309" s="14">
        <v>22127.2</v>
      </c>
      <c r="L309" s="14">
        <v>18547.8</v>
      </c>
      <c r="M309" s="14">
        <v>3579.4</v>
      </c>
      <c r="N309" s="14">
        <v>3825.0</v>
      </c>
      <c r="O309" s="14">
        <f t="shared" si="2"/>
        <v>-245.6</v>
      </c>
      <c r="P309" s="2" t="s">
        <v>2597</v>
      </c>
    </row>
    <row r="310" ht="22.5" customHeight="1">
      <c r="A310" s="2" t="s">
        <v>1287</v>
      </c>
      <c r="B310" s="12">
        <v>46157.0</v>
      </c>
      <c r="C310" s="13" t="str">
        <f t="shared" si="1"/>
        <v>2026-05</v>
      </c>
      <c r="D310" s="12">
        <v>46182.0</v>
      </c>
      <c r="E310" s="12">
        <v>46187.0</v>
      </c>
      <c r="F310" s="2" t="s">
        <v>221</v>
      </c>
      <c r="G310" s="2" t="str">
        <f>VLOOKUP(F310,Tabela_1[#ALL],2,0)</f>
        <v>EssenciaPura EPP</v>
      </c>
      <c r="H310" s="2" t="str">
        <f>VLOOKUP(F310,Tabela_1[#ALL],3,0)</f>
        <v>cosmetico</v>
      </c>
      <c r="I310" s="2" t="s">
        <v>49</v>
      </c>
      <c r="J310" s="2">
        <v>3.0</v>
      </c>
      <c r="K310" s="14">
        <v>5163.6</v>
      </c>
      <c r="L310" s="14">
        <v>4084.65</v>
      </c>
      <c r="M310" s="14">
        <v>1078.95</v>
      </c>
      <c r="N310" s="14">
        <v>2149.0</v>
      </c>
      <c r="O310" s="14">
        <f t="shared" si="2"/>
        <v>-1070.05</v>
      </c>
      <c r="P310" s="2" t="s">
        <v>2597</v>
      </c>
    </row>
    <row r="311" ht="22.5" customHeight="1">
      <c r="A311" s="2" t="s">
        <v>1294</v>
      </c>
      <c r="B311" s="12">
        <v>46157.0</v>
      </c>
      <c r="C311" s="13" t="str">
        <f t="shared" si="1"/>
        <v>2026-05</v>
      </c>
      <c r="D311" s="12">
        <v>46185.0</v>
      </c>
      <c r="E311" s="12">
        <v>46187.0</v>
      </c>
      <c r="F311" s="2" t="s">
        <v>235</v>
      </c>
      <c r="G311" s="2" t="str">
        <f>VLOOKUP(F311,Tabela_1[#ALL],2,0)</f>
        <v>Saúde Total Labs Comércio</v>
      </c>
      <c r="H311" s="2" t="str">
        <f>VLOOKUP(F311,Tabela_1[#ALL],3,0)</f>
        <v>farmaceutico</v>
      </c>
      <c r="I311" s="2" t="s">
        <v>39</v>
      </c>
      <c r="J311" s="2">
        <v>2.0</v>
      </c>
      <c r="K311" s="14">
        <v>3739.2</v>
      </c>
      <c r="L311" s="14">
        <v>2827.2</v>
      </c>
      <c r="M311" s="14">
        <v>912.0</v>
      </c>
      <c r="N311" s="14">
        <v>111.0</v>
      </c>
      <c r="O311" s="14">
        <f t="shared" si="2"/>
        <v>801</v>
      </c>
      <c r="P311" s="2" t="s">
        <v>2597</v>
      </c>
    </row>
    <row r="312" ht="22.5" customHeight="1">
      <c r="A312" s="2" t="s">
        <v>1297</v>
      </c>
      <c r="B312" s="12">
        <v>46158.0</v>
      </c>
      <c r="C312" s="13" t="str">
        <f t="shared" si="1"/>
        <v>2026-05</v>
      </c>
      <c r="D312" s="12">
        <v>46184.0</v>
      </c>
      <c r="E312" s="12">
        <v>46183.0</v>
      </c>
      <c r="F312" s="2" t="s">
        <v>23</v>
      </c>
      <c r="G312" s="2" t="str">
        <f>VLOOKUP(F312,Tabela_1[#ALL],2,0)</f>
        <v>Nova Era Cosméticos</v>
      </c>
      <c r="H312" s="2" t="str">
        <f>VLOOKUP(F312,Tabela_1[#ALL],3,0)</f>
        <v>cosmetico</v>
      </c>
      <c r="I312" s="2" t="s">
        <v>22</v>
      </c>
      <c r="J312" s="2">
        <v>2.0</v>
      </c>
      <c r="K312" s="14">
        <v>114785.0</v>
      </c>
      <c r="L312" s="14">
        <v>88138.5</v>
      </c>
      <c r="M312" s="14">
        <v>26646.5</v>
      </c>
      <c r="N312" s="14">
        <v>6078.0</v>
      </c>
      <c r="O312" s="14">
        <f t="shared" si="2"/>
        <v>20568.5</v>
      </c>
      <c r="P312" s="2" t="s">
        <v>2597</v>
      </c>
    </row>
    <row r="313" ht="22.5" customHeight="1">
      <c r="A313" s="2" t="s">
        <v>1300</v>
      </c>
      <c r="B313" s="12">
        <v>46158.0</v>
      </c>
      <c r="C313" s="13" t="str">
        <f t="shared" si="1"/>
        <v>2026-05</v>
      </c>
      <c r="D313" s="12">
        <v>46182.0</v>
      </c>
      <c r="E313" s="12">
        <v>46181.0</v>
      </c>
      <c r="F313" s="2" t="s">
        <v>78</v>
      </c>
      <c r="G313" s="2" t="str">
        <f>VLOOKUP(F313,Tabela_1[#ALL],2,0)</f>
        <v>Bom Sabor Alimentos</v>
      </c>
      <c r="H313" s="2" t="str">
        <f>VLOOKUP(F313,Tabela_1[#ALL],3,0)</f>
        <v>alimenticio</v>
      </c>
      <c r="I313" s="2" t="s">
        <v>39</v>
      </c>
      <c r="J313" s="2">
        <v>2.0</v>
      </c>
      <c r="K313" s="14">
        <v>11478.6</v>
      </c>
      <c r="L313" s="14">
        <v>9292.2</v>
      </c>
      <c r="M313" s="14">
        <v>2186.4</v>
      </c>
      <c r="N313" s="14">
        <v>641.0</v>
      </c>
      <c r="O313" s="14">
        <f t="shared" si="2"/>
        <v>1545.4</v>
      </c>
      <c r="P313" s="2" t="s">
        <v>2597</v>
      </c>
    </row>
    <row r="314" ht="22.5" customHeight="1">
      <c r="A314" s="2" t="s">
        <v>1303</v>
      </c>
      <c r="B314" s="12">
        <v>46158.0</v>
      </c>
      <c r="C314" s="13" t="str">
        <f t="shared" si="1"/>
        <v>2026-05</v>
      </c>
      <c r="D314" s="12">
        <v>46191.0</v>
      </c>
      <c r="F314" s="2" t="s">
        <v>126</v>
      </c>
      <c r="G314" s="2" t="str">
        <f>VLOOKUP(F314,Tabela_1[#ALL],2,0)</f>
        <v>Biolatina Indústria Cooperativa</v>
      </c>
      <c r="H314" s="2" t="str">
        <f>VLOOKUP(F314,Tabela_1[#ALL],3,0)</f>
        <v>farmaceutico</v>
      </c>
      <c r="I314" s="2" t="s">
        <v>43</v>
      </c>
      <c r="J314" s="2">
        <v>3.0</v>
      </c>
      <c r="K314" s="14">
        <v>11993.4</v>
      </c>
      <c r="L314" s="14">
        <v>9396.6</v>
      </c>
      <c r="M314" s="14">
        <v>2596.8</v>
      </c>
      <c r="N314" s="14">
        <v>6087.0</v>
      </c>
      <c r="O314" s="14">
        <f t="shared" si="2"/>
        <v>-3490.2</v>
      </c>
      <c r="P314" s="2" t="s">
        <v>2600</v>
      </c>
    </row>
    <row r="315" ht="22.5" customHeight="1">
      <c r="A315" s="2" t="s">
        <v>1305</v>
      </c>
      <c r="B315" s="12">
        <v>46158.0</v>
      </c>
      <c r="C315" s="13" t="str">
        <f t="shared" si="1"/>
        <v>2026-05</v>
      </c>
      <c r="D315" s="12">
        <v>46182.0</v>
      </c>
      <c r="F315" s="2" t="s">
        <v>179</v>
      </c>
      <c r="G315" s="2" t="str">
        <f>VLOOKUP(F315,Tabela_1[#ALL],2,0)</f>
        <v>Mercosul Comércio EPP (Joinville)</v>
      </c>
      <c r="H315" s="2" t="str">
        <f>VLOOKUP(F315,Tabela_1[#ALL],3,0)</f>
        <v>distribuidor</v>
      </c>
      <c r="I315" s="2" t="s">
        <v>39</v>
      </c>
      <c r="J315" s="2">
        <v>3.0</v>
      </c>
      <c r="K315" s="14">
        <v>8854.6</v>
      </c>
      <c r="L315" s="14">
        <v>7021.0</v>
      </c>
      <c r="M315" s="14">
        <v>1833.6</v>
      </c>
      <c r="N315" s="14">
        <v>4773.0</v>
      </c>
      <c r="O315" s="14">
        <f t="shared" si="2"/>
        <v>-2939.4</v>
      </c>
      <c r="P315" s="2" t="s">
        <v>2601</v>
      </c>
    </row>
    <row r="316" ht="22.5" customHeight="1">
      <c r="A316" s="2" t="s">
        <v>1308</v>
      </c>
      <c r="B316" s="12">
        <v>46158.0</v>
      </c>
      <c r="C316" s="13" t="str">
        <f t="shared" si="1"/>
        <v>2026-05</v>
      </c>
      <c r="D316" s="12">
        <v>46183.0</v>
      </c>
      <c r="E316" s="12">
        <v>46180.0</v>
      </c>
      <c r="F316" s="2" t="s">
        <v>213</v>
      </c>
      <c r="G316" s="2" t="str">
        <f>VLOOKUP(F316,Tabela_1[#ALL],2,0)</f>
        <v>Doce Vale ME</v>
      </c>
      <c r="H316" s="2" t="str">
        <f>VLOOKUP(F316,Tabela_1[#ALL],3,0)</f>
        <v>alimenticio</v>
      </c>
      <c r="I316" s="2" t="s">
        <v>39</v>
      </c>
      <c r="J316" s="2">
        <v>1.0</v>
      </c>
      <c r="K316" s="14">
        <v>27749.4</v>
      </c>
      <c r="L316" s="14">
        <v>22463.8</v>
      </c>
      <c r="M316" s="14">
        <v>5285.6</v>
      </c>
      <c r="N316" s="14">
        <v>2219.0</v>
      </c>
      <c r="O316" s="14">
        <f t="shared" si="2"/>
        <v>3066.6</v>
      </c>
      <c r="P316" s="2" t="s">
        <v>2597</v>
      </c>
    </row>
    <row r="317" ht="22.5" customHeight="1">
      <c r="A317" s="2" t="s">
        <v>1311</v>
      </c>
      <c r="B317" s="12">
        <v>46158.0</v>
      </c>
      <c r="C317" s="13" t="str">
        <f t="shared" si="1"/>
        <v>2026-05</v>
      </c>
      <c r="D317" s="12">
        <v>46185.0</v>
      </c>
      <c r="E317" s="12">
        <v>46184.0</v>
      </c>
      <c r="F317" s="2" t="s">
        <v>251</v>
      </c>
      <c r="G317" s="2" t="str">
        <f>VLOOKUP(F317,Tabela_1[#ALL],2,0)</f>
        <v>Saúde Total Labs S.A.</v>
      </c>
      <c r="H317" s="2" t="str">
        <f>VLOOKUP(F317,Tabela_1[#ALL],3,0)</f>
        <v>farmaceutico</v>
      </c>
      <c r="I317" s="2" t="s">
        <v>49</v>
      </c>
      <c r="J317" s="2">
        <v>3.0</v>
      </c>
      <c r="K317" s="14">
        <v>14015.4</v>
      </c>
      <c r="L317" s="14">
        <v>11345.8</v>
      </c>
      <c r="M317" s="14">
        <v>2669.6</v>
      </c>
      <c r="N317" s="14">
        <v>785.0</v>
      </c>
      <c r="O317" s="14">
        <f t="shared" si="2"/>
        <v>1884.6</v>
      </c>
      <c r="P317" s="2" t="s">
        <v>2597</v>
      </c>
    </row>
    <row r="318" ht="22.5" customHeight="1">
      <c r="A318" s="2" t="s">
        <v>1314</v>
      </c>
      <c r="B318" s="12">
        <v>46159.0</v>
      </c>
      <c r="C318" s="13" t="str">
        <f t="shared" si="1"/>
        <v>2026-05</v>
      </c>
      <c r="D318" s="12">
        <v>46174.0</v>
      </c>
      <c r="E318" s="12">
        <v>46176.0</v>
      </c>
      <c r="F318" s="2" t="s">
        <v>64</v>
      </c>
      <c r="G318" s="2" t="str">
        <f>VLOOKUP(F318,Tabela_1[#ALL],2,0)</f>
        <v>Aromatic</v>
      </c>
      <c r="H318" s="2" t="str">
        <f>VLOOKUP(F318,Tabela_1[#ALL],3,0)</f>
        <v>cosmetico</v>
      </c>
      <c r="I318" s="2" t="s">
        <v>56</v>
      </c>
      <c r="J318" s="2">
        <v>1.0</v>
      </c>
      <c r="K318" s="14">
        <v>47596.6</v>
      </c>
      <c r="L318" s="14">
        <v>39897.15</v>
      </c>
      <c r="M318" s="14">
        <v>7699.45</v>
      </c>
      <c r="N318" s="14">
        <v>7318.0</v>
      </c>
      <c r="O318" s="14">
        <f t="shared" si="2"/>
        <v>381.45</v>
      </c>
      <c r="P318" s="2" t="s">
        <v>2597</v>
      </c>
    </row>
    <row r="319" ht="22.5" customHeight="1">
      <c r="A319" s="2" t="s">
        <v>1318</v>
      </c>
      <c r="B319" s="12">
        <v>46159.0</v>
      </c>
      <c r="C319" s="13" t="str">
        <f t="shared" si="1"/>
        <v>2026-05</v>
      </c>
      <c r="D319" s="12">
        <v>46180.0</v>
      </c>
      <c r="E319" s="12">
        <v>46177.0</v>
      </c>
      <c r="F319" s="2" t="s">
        <v>95</v>
      </c>
      <c r="G319" s="2" t="str">
        <f>VLOOKUP(F319,Tabela_1[#ALL],2,0)</f>
        <v>Mercado Vale</v>
      </c>
      <c r="H319" s="2" t="str">
        <f>VLOOKUP(F319,Tabela_1[#ALL],3,0)</f>
        <v>varejo</v>
      </c>
      <c r="I319" s="2" t="s">
        <v>56</v>
      </c>
      <c r="J319" s="2">
        <v>1.0</v>
      </c>
      <c r="K319" s="14">
        <v>18603.2</v>
      </c>
      <c r="L319" s="14">
        <v>16610.0</v>
      </c>
      <c r="M319" s="14">
        <v>1993.2</v>
      </c>
      <c r="N319" s="14">
        <v>5320.0</v>
      </c>
      <c r="O319" s="14">
        <f t="shared" si="2"/>
        <v>-3326.8</v>
      </c>
      <c r="P319" s="2" t="s">
        <v>2597</v>
      </c>
    </row>
    <row r="320" ht="22.5" customHeight="1">
      <c r="A320" s="2" t="s">
        <v>1320</v>
      </c>
      <c r="B320" s="12">
        <v>46159.0</v>
      </c>
      <c r="C320" s="13" t="str">
        <f t="shared" si="1"/>
        <v>2026-05</v>
      </c>
      <c r="D320" s="12">
        <v>46190.0</v>
      </c>
      <c r="E320" s="12">
        <v>46191.0</v>
      </c>
      <c r="F320" s="2" t="s">
        <v>108</v>
      </c>
      <c r="G320" s="2" t="str">
        <f>VLOOKUP(F320,Tabela_1[#ALL],2,0)</f>
        <v>Ciência da Vida Farma</v>
      </c>
      <c r="H320" s="2" t="str">
        <f>VLOOKUP(F320,Tabela_1[#ALL],3,0)</f>
        <v>farmaceutico</v>
      </c>
      <c r="I320" s="2" t="s">
        <v>91</v>
      </c>
      <c r="J320" s="2">
        <v>2.0</v>
      </c>
      <c r="K320" s="14">
        <v>51825.2</v>
      </c>
      <c r="L320" s="14">
        <v>46272.5</v>
      </c>
      <c r="M320" s="14">
        <v>5552.7</v>
      </c>
      <c r="N320" s="14">
        <v>1477.0</v>
      </c>
      <c r="O320" s="14">
        <f t="shared" si="2"/>
        <v>4075.7</v>
      </c>
      <c r="P320" s="2" t="s">
        <v>2597</v>
      </c>
    </row>
    <row r="321" ht="22.5" customHeight="1">
      <c r="A321" s="2" t="s">
        <v>1323</v>
      </c>
      <c r="B321" s="12">
        <v>46159.0</v>
      </c>
      <c r="C321" s="13" t="str">
        <f t="shared" si="1"/>
        <v>2026-05</v>
      </c>
      <c r="D321" s="12">
        <v>46185.0</v>
      </c>
      <c r="E321" s="12">
        <v>46183.0</v>
      </c>
      <c r="F321" s="2" t="s">
        <v>111</v>
      </c>
      <c r="G321" s="2" t="str">
        <f>VLOOKUP(F321,Tabela_1[#ALL],2,0)</f>
        <v>Salutar Farma Comércio</v>
      </c>
      <c r="H321" s="2" t="str">
        <f>VLOOKUP(F321,Tabela_1[#ALL],3,0)</f>
        <v>farmaceutico</v>
      </c>
      <c r="I321" s="2" t="s">
        <v>43</v>
      </c>
      <c r="J321" s="2">
        <v>3.0</v>
      </c>
      <c r="K321" s="14">
        <v>6997.2</v>
      </c>
      <c r="L321" s="14">
        <v>5865.3</v>
      </c>
      <c r="M321" s="14">
        <v>1131.9</v>
      </c>
      <c r="N321" s="14">
        <v>3387.0</v>
      </c>
      <c r="O321" s="14">
        <f t="shared" si="2"/>
        <v>-2255.1</v>
      </c>
      <c r="P321" s="2" t="s">
        <v>2597</v>
      </c>
    </row>
    <row r="322" ht="22.5" customHeight="1">
      <c r="A322" s="2" t="s">
        <v>1325</v>
      </c>
      <c r="B322" s="12">
        <v>46159.0</v>
      </c>
      <c r="C322" s="13" t="str">
        <f t="shared" si="1"/>
        <v>2026-05</v>
      </c>
      <c r="D322" s="12">
        <v>46180.0</v>
      </c>
      <c r="E322" s="12">
        <v>46181.0</v>
      </c>
      <c r="F322" s="2" t="s">
        <v>119</v>
      </c>
      <c r="G322" s="2" t="str">
        <f>VLOOKUP(F322,Tabela_1[#ALL],2,0)</f>
        <v>Coopercana ME</v>
      </c>
      <c r="H322" s="2" t="str">
        <f>VLOOKUP(F322,Tabela_1[#ALL],3,0)</f>
        <v>alimenticio</v>
      </c>
      <c r="I322" s="2" t="s">
        <v>56</v>
      </c>
      <c r="J322" s="2">
        <v>3.0</v>
      </c>
      <c r="K322" s="14">
        <v>5003.9</v>
      </c>
      <c r="L322" s="14">
        <v>4148.0</v>
      </c>
      <c r="M322" s="14">
        <v>855.9</v>
      </c>
      <c r="N322" s="14">
        <v>3509.0</v>
      </c>
      <c r="O322" s="14">
        <f t="shared" si="2"/>
        <v>-2653.1</v>
      </c>
      <c r="P322" s="2" t="s">
        <v>2597</v>
      </c>
    </row>
    <row r="323" ht="22.5" customHeight="1">
      <c r="A323" s="2" t="s">
        <v>1333</v>
      </c>
      <c r="B323" s="12">
        <v>46159.0</v>
      </c>
      <c r="C323" s="13" t="str">
        <f t="shared" si="1"/>
        <v>2026-05</v>
      </c>
      <c r="D323" s="12">
        <v>46182.0</v>
      </c>
      <c r="E323" s="12">
        <v>46179.0</v>
      </c>
      <c r="F323" s="2" t="s">
        <v>132</v>
      </c>
      <c r="G323" s="2" t="str">
        <f>VLOOKUP(F323,Tabela_1[#ALL],2,0)</f>
        <v>Doce Vale</v>
      </c>
      <c r="H323" s="2" t="str">
        <f>VLOOKUP(F323,Tabela_1[#ALL],3,0)</f>
        <v>alimenticio</v>
      </c>
      <c r="I323" s="2" t="s">
        <v>39</v>
      </c>
      <c r="J323" s="2">
        <v>3.0</v>
      </c>
      <c r="K323" s="14">
        <v>11849.5</v>
      </c>
      <c r="L323" s="14">
        <v>9297.3</v>
      </c>
      <c r="M323" s="14">
        <v>2552.2</v>
      </c>
      <c r="N323" s="14">
        <v>2039.0</v>
      </c>
      <c r="O323" s="14">
        <f t="shared" si="2"/>
        <v>513.2</v>
      </c>
      <c r="P323" s="2" t="s">
        <v>2597</v>
      </c>
    </row>
    <row r="324" ht="22.5" customHeight="1">
      <c r="A324" s="2" t="s">
        <v>1335</v>
      </c>
      <c r="B324" s="12">
        <v>46159.0</v>
      </c>
      <c r="C324" s="13" t="str">
        <f t="shared" si="1"/>
        <v>2026-05</v>
      </c>
      <c r="D324" s="12">
        <v>46177.0</v>
      </c>
      <c r="E324" s="12">
        <v>46179.0</v>
      </c>
      <c r="F324" s="2" t="s">
        <v>132</v>
      </c>
      <c r="G324" s="2" t="str">
        <f>VLOOKUP(F324,Tabela_1[#ALL],2,0)</f>
        <v>Doce Vale</v>
      </c>
      <c r="H324" s="2" t="str">
        <f>VLOOKUP(F324,Tabela_1[#ALL],3,0)</f>
        <v>alimenticio</v>
      </c>
      <c r="I324" s="2" t="s">
        <v>39</v>
      </c>
      <c r="J324" s="2">
        <v>1.0</v>
      </c>
      <c r="K324" s="14">
        <v>10264.8</v>
      </c>
      <c r="L324" s="14">
        <v>9165.0</v>
      </c>
      <c r="M324" s="14">
        <v>1099.8</v>
      </c>
      <c r="N324" s="14">
        <v>2447.0</v>
      </c>
      <c r="O324" s="14">
        <f t="shared" si="2"/>
        <v>-1347.2</v>
      </c>
      <c r="P324" s="2" t="s">
        <v>2597</v>
      </c>
    </row>
    <row r="325" ht="22.5" customHeight="1">
      <c r="A325" s="2" t="s">
        <v>1338</v>
      </c>
      <c r="B325" s="12">
        <v>46159.0</v>
      </c>
      <c r="C325" s="13" t="str">
        <f t="shared" si="1"/>
        <v>2026-05</v>
      </c>
      <c r="D325" s="12">
        <v>46183.0</v>
      </c>
      <c r="E325" s="12">
        <v>46182.0</v>
      </c>
      <c r="F325" s="2" t="s">
        <v>136</v>
      </c>
      <c r="G325" s="2" t="str">
        <f>VLOOKUP(F325,Tabela_1[#ALL],2,0)</f>
        <v>Varejo Familiar Ltda</v>
      </c>
      <c r="H325" s="2" t="str">
        <f>VLOOKUP(F325,Tabela_1[#ALL],3,0)</f>
        <v>varejo</v>
      </c>
      <c r="I325" s="2" t="s">
        <v>49</v>
      </c>
      <c r="J325" s="2">
        <v>2.0</v>
      </c>
      <c r="K325" s="14">
        <v>9047.4</v>
      </c>
      <c r="L325" s="14">
        <v>7211.4</v>
      </c>
      <c r="M325" s="14">
        <v>1836.0</v>
      </c>
      <c r="N325" s="14">
        <v>381.0</v>
      </c>
      <c r="O325" s="14">
        <f t="shared" si="2"/>
        <v>1455</v>
      </c>
      <c r="P325" s="2" t="s">
        <v>2597</v>
      </c>
    </row>
    <row r="326" ht="22.5" customHeight="1">
      <c r="A326" s="2" t="s">
        <v>1340</v>
      </c>
      <c r="B326" s="12">
        <v>46159.0</v>
      </c>
      <c r="C326" s="13" t="str">
        <f t="shared" si="1"/>
        <v>2026-05</v>
      </c>
      <c r="D326" s="12">
        <v>46189.0</v>
      </c>
      <c r="E326" s="12">
        <v>46190.0</v>
      </c>
      <c r="F326" s="2" t="s">
        <v>155</v>
      </c>
      <c r="G326" s="2" t="str">
        <f>VLOOKUP(F326,Tabela_1[#ALL],2,0)</f>
        <v>Nutrigrão ME</v>
      </c>
      <c r="H326" s="2" t="str">
        <f>VLOOKUP(F326,Tabela_1[#ALL],3,0)</f>
        <v>alimenticio</v>
      </c>
      <c r="I326" s="2" t="s">
        <v>39</v>
      </c>
      <c r="J326" s="2">
        <v>3.0</v>
      </c>
      <c r="K326" s="14">
        <v>9541.0</v>
      </c>
      <c r="L326" s="14">
        <v>8253.8</v>
      </c>
      <c r="M326" s="14">
        <v>1287.2</v>
      </c>
      <c r="N326" s="14">
        <v>223.0</v>
      </c>
      <c r="O326" s="14">
        <f t="shared" si="2"/>
        <v>1064.2</v>
      </c>
      <c r="P326" s="2" t="s">
        <v>2597</v>
      </c>
    </row>
    <row r="327" ht="22.5" customHeight="1">
      <c r="A327" s="2" t="s">
        <v>1343</v>
      </c>
      <c r="B327" s="12">
        <v>46159.0</v>
      </c>
      <c r="C327" s="13" t="str">
        <f t="shared" si="1"/>
        <v>2026-05</v>
      </c>
      <c r="D327" s="12">
        <v>46180.0</v>
      </c>
      <c r="E327" s="12">
        <v>46181.0</v>
      </c>
      <c r="F327" s="2" t="s">
        <v>159</v>
      </c>
      <c r="G327" s="2" t="str">
        <f>VLOOKUP(F327,Tabela_1[#ALL],2,0)</f>
        <v>Biolatina Indústria EPP</v>
      </c>
      <c r="H327" s="2" t="str">
        <f>VLOOKUP(F327,Tabela_1[#ALL],3,0)</f>
        <v>farmaceutico</v>
      </c>
      <c r="I327" s="2" t="s">
        <v>39</v>
      </c>
      <c r="J327" s="2">
        <v>3.0</v>
      </c>
      <c r="K327" s="14">
        <v>20895.7</v>
      </c>
      <c r="L327" s="14">
        <v>17322.7</v>
      </c>
      <c r="M327" s="14">
        <v>3573.0</v>
      </c>
      <c r="N327" s="14">
        <v>708.0</v>
      </c>
      <c r="O327" s="14">
        <f t="shared" si="2"/>
        <v>2865</v>
      </c>
      <c r="P327" s="2" t="s">
        <v>2597</v>
      </c>
    </row>
    <row r="328" ht="22.5" customHeight="1">
      <c r="A328" s="2" t="s">
        <v>1347</v>
      </c>
      <c r="B328" s="12">
        <v>46159.0</v>
      </c>
      <c r="C328" s="13" t="str">
        <f t="shared" si="1"/>
        <v>2026-05</v>
      </c>
      <c r="D328" s="12">
        <v>46182.0</v>
      </c>
      <c r="E328" s="12">
        <v>46179.0</v>
      </c>
      <c r="F328" s="2" t="s">
        <v>205</v>
      </c>
      <c r="G328" s="2" t="str">
        <f>VLOOKUP(F328,Tabela_1[#ALL],2,0)</f>
        <v>Farmalivre Indústria</v>
      </c>
      <c r="H328" s="2" t="str">
        <f>VLOOKUP(F328,Tabela_1[#ALL],3,0)</f>
        <v>farmaceutico</v>
      </c>
      <c r="I328" s="2" t="s">
        <v>91</v>
      </c>
      <c r="J328" s="2">
        <v>1.0</v>
      </c>
      <c r="K328" s="14">
        <v>6861.2</v>
      </c>
      <c r="L328" s="14">
        <v>5145.9</v>
      </c>
      <c r="M328" s="14">
        <v>1715.3</v>
      </c>
      <c r="N328" s="14">
        <v>1753.0</v>
      </c>
      <c r="O328" s="14">
        <f t="shared" si="2"/>
        <v>-37.7</v>
      </c>
      <c r="P328" s="2" t="s">
        <v>2597</v>
      </c>
    </row>
    <row r="329" ht="22.5" customHeight="1">
      <c r="A329" s="2" t="s">
        <v>1349</v>
      </c>
      <c r="B329" s="12">
        <v>46159.0</v>
      </c>
      <c r="C329" s="13" t="str">
        <f t="shared" si="1"/>
        <v>2026-05</v>
      </c>
      <c r="D329" s="12">
        <v>46175.0</v>
      </c>
      <c r="E329" s="12">
        <v>46175.0</v>
      </c>
      <c r="F329" s="2" t="s">
        <v>245</v>
      </c>
      <c r="G329" s="2" t="str">
        <f>VLOOKUP(F329,Tabela_1[#ALL],2,0)</f>
        <v>Laticínios Boa Vista ME</v>
      </c>
      <c r="H329" s="2" t="str">
        <f>VLOOKUP(F329,Tabela_1[#ALL],3,0)</f>
        <v>alimenticio</v>
      </c>
      <c r="I329" s="2" t="s">
        <v>22</v>
      </c>
      <c r="J329" s="2">
        <v>3.0</v>
      </c>
      <c r="K329" s="14">
        <v>19759.6</v>
      </c>
      <c r="L329" s="14">
        <v>16022.35</v>
      </c>
      <c r="M329" s="14">
        <v>3737.25</v>
      </c>
      <c r="N329" s="14">
        <v>1929.0</v>
      </c>
      <c r="O329" s="14">
        <f t="shared" si="2"/>
        <v>1808.25</v>
      </c>
      <c r="P329" s="2" t="s">
        <v>2597</v>
      </c>
    </row>
    <row r="330" ht="22.5" customHeight="1">
      <c r="A330" s="2" t="s">
        <v>1353</v>
      </c>
      <c r="B330" s="12">
        <v>46160.0</v>
      </c>
      <c r="C330" s="13" t="str">
        <f t="shared" si="1"/>
        <v>2026-05</v>
      </c>
      <c r="D330" s="12">
        <v>46195.0</v>
      </c>
      <c r="E330" s="12">
        <v>46194.0</v>
      </c>
      <c r="F330" s="2" t="s">
        <v>19</v>
      </c>
      <c r="G330" s="2" t="str">
        <f>VLOOKUP(F330,Tabela_1[#ALL],2,0)</f>
        <v>NorteAgro</v>
      </c>
      <c r="H330" s="2" t="str">
        <f>VLOOKUP(F330,Tabela_1[#ALL],3,0)</f>
        <v>alimenticio</v>
      </c>
      <c r="I330" s="2" t="s">
        <v>22</v>
      </c>
      <c r="J330" s="2">
        <v>3.0</v>
      </c>
      <c r="K330" s="14">
        <v>170734.4</v>
      </c>
      <c r="L330" s="14">
        <v>128050.8</v>
      </c>
      <c r="M330" s="14">
        <v>42683.6</v>
      </c>
      <c r="N330" s="14">
        <v>9189.0</v>
      </c>
      <c r="O330" s="14">
        <f t="shared" si="2"/>
        <v>33494.6</v>
      </c>
      <c r="P330" s="2" t="s">
        <v>2597</v>
      </c>
    </row>
    <row r="331" ht="22.5" customHeight="1">
      <c r="A331" s="2" t="s">
        <v>1357</v>
      </c>
      <c r="B331" s="12">
        <v>46160.0</v>
      </c>
      <c r="C331" s="13" t="str">
        <f t="shared" si="1"/>
        <v>2026-05</v>
      </c>
      <c r="D331" s="12">
        <v>46181.0</v>
      </c>
      <c r="E331" s="12">
        <v>46178.0</v>
      </c>
      <c r="F331" s="2" t="s">
        <v>19</v>
      </c>
      <c r="G331" s="2" t="str">
        <f>VLOOKUP(F331,Tabela_1[#ALL],2,0)</f>
        <v>NorteAgro</v>
      </c>
      <c r="H331" s="2" t="str">
        <f>VLOOKUP(F331,Tabela_1[#ALL],3,0)</f>
        <v>alimenticio</v>
      </c>
      <c r="I331" s="2" t="s">
        <v>22</v>
      </c>
      <c r="J331" s="2">
        <v>1.0</v>
      </c>
      <c r="K331" s="14">
        <v>127459.5</v>
      </c>
      <c r="L331" s="14">
        <v>94684.2</v>
      </c>
      <c r="M331" s="14">
        <v>32775.3</v>
      </c>
      <c r="N331" s="14">
        <v>6180.0</v>
      </c>
      <c r="O331" s="14">
        <f t="shared" si="2"/>
        <v>26595.3</v>
      </c>
      <c r="P331" s="2" t="s">
        <v>2597</v>
      </c>
    </row>
    <row r="332" ht="22.5" customHeight="1">
      <c r="A332" s="2" t="s">
        <v>1361</v>
      </c>
      <c r="B332" s="12">
        <v>46160.0</v>
      </c>
      <c r="C332" s="13" t="str">
        <f t="shared" si="1"/>
        <v>2026-05</v>
      </c>
      <c r="D332" s="12">
        <v>46177.0</v>
      </c>
      <c r="E332" s="12">
        <v>46176.0</v>
      </c>
      <c r="F332" s="2" t="s">
        <v>35</v>
      </c>
      <c r="G332" s="2" t="str">
        <f>VLOOKUP(F332,Tabela_1[#ALL],2,0)</f>
        <v>CoopVale</v>
      </c>
      <c r="H332" s="2" t="str">
        <f>VLOOKUP(F332,Tabela_1[#ALL],3,0)</f>
        <v>alimenticio</v>
      </c>
      <c r="I332" s="2" t="s">
        <v>39</v>
      </c>
      <c r="J332" s="2">
        <v>3.0</v>
      </c>
      <c r="K332" s="14">
        <v>58164.4</v>
      </c>
      <c r="L332" s="14">
        <v>51932.5</v>
      </c>
      <c r="M332" s="14">
        <v>6231.9</v>
      </c>
      <c r="N332" s="14">
        <v>480.0</v>
      </c>
      <c r="O332" s="14">
        <f t="shared" si="2"/>
        <v>5751.9</v>
      </c>
      <c r="P332" s="2" t="s">
        <v>2597</v>
      </c>
    </row>
    <row r="333" ht="22.5" customHeight="1">
      <c r="A333" s="2" t="s">
        <v>1364</v>
      </c>
      <c r="B333" s="12">
        <v>46160.0</v>
      </c>
      <c r="C333" s="13" t="str">
        <f t="shared" si="1"/>
        <v>2026-05</v>
      </c>
      <c r="D333" s="12">
        <v>46182.0</v>
      </c>
      <c r="E333" s="12">
        <v>46181.0</v>
      </c>
      <c r="F333" s="2" t="s">
        <v>111</v>
      </c>
      <c r="G333" s="2" t="str">
        <f>VLOOKUP(F333,Tabela_1[#ALL],2,0)</f>
        <v>Salutar Farma Comércio</v>
      </c>
      <c r="H333" s="2" t="str">
        <f>VLOOKUP(F333,Tabela_1[#ALL],3,0)</f>
        <v>farmaceutico</v>
      </c>
      <c r="I333" s="2" t="s">
        <v>43</v>
      </c>
      <c r="J333" s="2">
        <v>1.0</v>
      </c>
      <c r="K333" s="14">
        <v>7718.0</v>
      </c>
      <c r="L333" s="14">
        <v>5788.5</v>
      </c>
      <c r="M333" s="14">
        <v>1929.5</v>
      </c>
      <c r="N333" s="14">
        <v>2372.0</v>
      </c>
      <c r="O333" s="14">
        <f t="shared" si="2"/>
        <v>-442.5</v>
      </c>
      <c r="P333" s="2" t="s">
        <v>2597</v>
      </c>
    </row>
    <row r="334" ht="22.5" customHeight="1">
      <c r="A334" s="2" t="s">
        <v>1365</v>
      </c>
      <c r="B334" s="12">
        <v>46160.0</v>
      </c>
      <c r="C334" s="13" t="str">
        <f t="shared" si="1"/>
        <v>2026-05</v>
      </c>
      <c r="D334" s="12">
        <v>46187.0</v>
      </c>
      <c r="F334" s="2" t="s">
        <v>119</v>
      </c>
      <c r="G334" s="2" t="str">
        <f>VLOOKUP(F334,Tabela_1[#ALL],2,0)</f>
        <v>Coopercana ME</v>
      </c>
      <c r="H334" s="2" t="str">
        <f>VLOOKUP(F334,Tabela_1[#ALL],3,0)</f>
        <v>alimenticio</v>
      </c>
      <c r="I334" s="2" t="s">
        <v>56</v>
      </c>
      <c r="J334" s="2">
        <v>2.0</v>
      </c>
      <c r="K334" s="14">
        <v>19975.2</v>
      </c>
      <c r="L334" s="14">
        <v>17835.0</v>
      </c>
      <c r="M334" s="14">
        <v>2140.2</v>
      </c>
      <c r="N334" s="14">
        <v>3645.0</v>
      </c>
      <c r="O334" s="14">
        <f t="shared" si="2"/>
        <v>-1504.8</v>
      </c>
      <c r="P334" s="2" t="s">
        <v>2600</v>
      </c>
    </row>
    <row r="335" ht="22.5" customHeight="1">
      <c r="A335" s="2" t="s">
        <v>1367</v>
      </c>
      <c r="B335" s="12">
        <v>46160.0</v>
      </c>
      <c r="C335" s="13" t="str">
        <f t="shared" si="1"/>
        <v>2026-05</v>
      </c>
      <c r="D335" s="12">
        <v>46187.0</v>
      </c>
      <c r="E335" s="12">
        <v>46185.0</v>
      </c>
      <c r="F335" s="2" t="s">
        <v>124</v>
      </c>
      <c r="G335" s="2" t="str">
        <f>VLOOKUP(F335,Tabela_1[#ALL],2,0)</f>
        <v>Mercatto Indústria</v>
      </c>
      <c r="H335" s="2" t="str">
        <f>VLOOKUP(F335,Tabela_1[#ALL],3,0)</f>
        <v>varejo</v>
      </c>
      <c r="I335" s="2" t="s">
        <v>49</v>
      </c>
      <c r="J335" s="2">
        <v>3.0</v>
      </c>
      <c r="K335" s="14">
        <v>6930.0</v>
      </c>
      <c r="L335" s="14">
        <v>5802.5</v>
      </c>
      <c r="M335" s="14">
        <v>1127.5</v>
      </c>
      <c r="N335" s="14">
        <v>2361.0</v>
      </c>
      <c r="O335" s="14">
        <f t="shared" si="2"/>
        <v>-1233.5</v>
      </c>
      <c r="P335" s="2" t="s">
        <v>2597</v>
      </c>
    </row>
    <row r="336" ht="22.5" customHeight="1">
      <c r="A336" s="2" t="s">
        <v>1369</v>
      </c>
      <c r="B336" s="12">
        <v>46160.0</v>
      </c>
      <c r="C336" s="13" t="str">
        <f t="shared" si="1"/>
        <v>2026-05</v>
      </c>
      <c r="D336" s="12">
        <v>46178.0</v>
      </c>
      <c r="E336" s="12">
        <v>46180.0</v>
      </c>
      <c r="F336" s="2" t="s">
        <v>128</v>
      </c>
      <c r="G336" s="2" t="str">
        <f>VLOOKUP(F336,Tabela_1[#ALL],2,0)</f>
        <v>EnviaTudo Cooperativa</v>
      </c>
      <c r="H336" s="2" t="str">
        <f>VLOOKUP(F336,Tabela_1[#ALL],3,0)</f>
        <v>ecommerce</v>
      </c>
      <c r="I336" s="2" t="s">
        <v>56</v>
      </c>
      <c r="J336" s="2">
        <v>2.0</v>
      </c>
      <c r="K336" s="14">
        <v>5892.6</v>
      </c>
      <c r="L336" s="14">
        <v>4770.2</v>
      </c>
      <c r="M336" s="14">
        <v>1122.4</v>
      </c>
      <c r="N336" s="14">
        <v>5446.0</v>
      </c>
      <c r="O336" s="14">
        <f t="shared" si="2"/>
        <v>-4323.6</v>
      </c>
      <c r="P336" s="2" t="s">
        <v>2597</v>
      </c>
    </row>
    <row r="337" ht="22.5" customHeight="1">
      <c r="A337" s="2" t="s">
        <v>1371</v>
      </c>
      <c r="B337" s="12">
        <v>46161.0</v>
      </c>
      <c r="C337" s="13" t="str">
        <f t="shared" si="1"/>
        <v>2026-05</v>
      </c>
      <c r="D337" s="12">
        <v>46181.0</v>
      </c>
      <c r="E337" s="12">
        <v>46181.0</v>
      </c>
      <c r="F337" s="2" t="s">
        <v>28</v>
      </c>
      <c r="G337" s="2" t="str">
        <f>VLOOKUP(F337,Tabela_1[#ALL],2,0)</f>
        <v>CoopFrigo</v>
      </c>
      <c r="H337" s="2" t="str">
        <f>VLOOKUP(F337,Tabela_1[#ALL],3,0)</f>
        <v>alimenticio</v>
      </c>
      <c r="I337" s="2" t="s">
        <v>16</v>
      </c>
      <c r="J337" s="2">
        <v>2.0</v>
      </c>
      <c r="K337" s="14">
        <v>70697.2</v>
      </c>
      <c r="L337" s="14">
        <v>63122.5</v>
      </c>
      <c r="M337" s="14">
        <v>7574.7</v>
      </c>
      <c r="N337" s="14">
        <v>1810.0</v>
      </c>
      <c r="O337" s="14">
        <f t="shared" si="2"/>
        <v>5764.7</v>
      </c>
      <c r="P337" s="2" t="s">
        <v>2597</v>
      </c>
    </row>
    <row r="338" ht="22.5" customHeight="1">
      <c r="A338" s="2" t="s">
        <v>1374</v>
      </c>
      <c r="B338" s="12">
        <v>46161.0</v>
      </c>
      <c r="C338" s="13" t="str">
        <f t="shared" si="1"/>
        <v>2026-05</v>
      </c>
      <c r="D338" s="12">
        <v>46193.0</v>
      </c>
      <c r="E338" s="12">
        <v>46191.0</v>
      </c>
      <c r="F338" s="2" t="s">
        <v>78</v>
      </c>
      <c r="G338" s="2" t="str">
        <f>VLOOKUP(F338,Tabela_1[#ALL],2,0)</f>
        <v>Bom Sabor Alimentos</v>
      </c>
      <c r="H338" s="2" t="str">
        <f>VLOOKUP(F338,Tabela_1[#ALL],3,0)</f>
        <v>alimenticio</v>
      </c>
      <c r="I338" s="2" t="s">
        <v>39</v>
      </c>
      <c r="J338" s="2">
        <v>2.0</v>
      </c>
      <c r="K338" s="14">
        <v>19041.4</v>
      </c>
      <c r="L338" s="14">
        <v>16207.8</v>
      </c>
      <c r="M338" s="14">
        <v>2833.6</v>
      </c>
      <c r="N338" s="14">
        <v>855.0</v>
      </c>
      <c r="O338" s="14">
        <f t="shared" si="2"/>
        <v>1978.6</v>
      </c>
      <c r="P338" s="2" t="s">
        <v>2597</v>
      </c>
    </row>
    <row r="339" ht="22.5" customHeight="1">
      <c r="A339" s="2" t="s">
        <v>1376</v>
      </c>
      <c r="B339" s="12">
        <v>46161.0</v>
      </c>
      <c r="C339" s="13" t="str">
        <f t="shared" si="1"/>
        <v>2026-05</v>
      </c>
      <c r="D339" s="12">
        <v>46196.0</v>
      </c>
      <c r="E339" s="12">
        <v>46198.0</v>
      </c>
      <c r="F339" s="2" t="s">
        <v>136</v>
      </c>
      <c r="G339" s="2" t="str">
        <f>VLOOKUP(F339,Tabela_1[#ALL],2,0)</f>
        <v>Varejo Familiar Ltda</v>
      </c>
      <c r="H339" s="2" t="str">
        <f>VLOOKUP(F339,Tabela_1[#ALL],3,0)</f>
        <v>varejo</v>
      </c>
      <c r="I339" s="2" t="s">
        <v>49</v>
      </c>
      <c r="J339" s="2">
        <v>2.0</v>
      </c>
      <c r="K339" s="14">
        <v>5363.4</v>
      </c>
      <c r="L339" s="14">
        <v>4565.1</v>
      </c>
      <c r="M339" s="14">
        <v>798.3</v>
      </c>
      <c r="N339" s="14">
        <v>419.0</v>
      </c>
      <c r="O339" s="14">
        <f t="shared" si="2"/>
        <v>379.3</v>
      </c>
      <c r="P339" s="2" t="s">
        <v>2597</v>
      </c>
    </row>
    <row r="340" ht="22.5" customHeight="1">
      <c r="A340" s="2" t="s">
        <v>1379</v>
      </c>
      <c r="B340" s="12">
        <v>46161.0</v>
      </c>
      <c r="C340" s="13" t="str">
        <f t="shared" si="1"/>
        <v>2026-05</v>
      </c>
      <c r="D340" s="12">
        <v>46189.0</v>
      </c>
      <c r="E340" s="12">
        <v>46190.0</v>
      </c>
      <c r="F340" s="2" t="s">
        <v>165</v>
      </c>
      <c r="G340" s="2" t="str">
        <f>VLOOKUP(F340,Tabela_1[#ALL],2,0)</f>
        <v>Laticínios Boa Vista Comércio</v>
      </c>
      <c r="H340" s="2" t="str">
        <f>VLOOKUP(F340,Tabela_1[#ALL],3,0)</f>
        <v>alimenticio</v>
      </c>
      <c r="I340" s="2" t="s">
        <v>39</v>
      </c>
      <c r="J340" s="2">
        <v>1.0</v>
      </c>
      <c r="K340" s="14">
        <v>18118.8</v>
      </c>
      <c r="L340" s="14">
        <v>16177.5</v>
      </c>
      <c r="M340" s="14">
        <v>1941.3</v>
      </c>
      <c r="N340" s="14">
        <v>1251.0</v>
      </c>
      <c r="O340" s="14">
        <f t="shared" si="2"/>
        <v>690.3</v>
      </c>
      <c r="P340" s="2" t="s">
        <v>2597</v>
      </c>
    </row>
    <row r="341" ht="22.5" customHeight="1">
      <c r="A341" s="2" t="s">
        <v>1382</v>
      </c>
      <c r="B341" s="12">
        <v>46161.0</v>
      </c>
      <c r="C341" s="13" t="str">
        <f t="shared" si="1"/>
        <v>2026-05</v>
      </c>
      <c r="D341" s="12">
        <v>46188.0</v>
      </c>
      <c r="E341" s="12">
        <v>46189.0</v>
      </c>
      <c r="F341" s="2" t="s">
        <v>169</v>
      </c>
      <c r="G341" s="2" t="str">
        <f>VLOOKUP(F341,Tabela_1[#ALL],2,0)</f>
        <v>Supermercados Vivo EPP</v>
      </c>
      <c r="H341" s="2" t="str">
        <f>VLOOKUP(F341,Tabela_1[#ALL],3,0)</f>
        <v>varejo</v>
      </c>
      <c r="I341" s="2" t="s">
        <v>91</v>
      </c>
      <c r="J341" s="2">
        <v>3.0</v>
      </c>
      <c r="K341" s="14">
        <v>1668.3</v>
      </c>
      <c r="L341" s="14">
        <v>1383.2</v>
      </c>
      <c r="M341" s="14">
        <v>285.1</v>
      </c>
      <c r="N341" s="14">
        <v>857.0</v>
      </c>
      <c r="O341" s="14">
        <f t="shared" si="2"/>
        <v>-571.9</v>
      </c>
      <c r="P341" s="2" t="s">
        <v>2597</v>
      </c>
    </row>
    <row r="342" ht="22.5" customHeight="1">
      <c r="A342" s="2" t="s">
        <v>1391</v>
      </c>
      <c r="B342" s="12">
        <v>46161.0</v>
      </c>
      <c r="C342" s="13" t="str">
        <f t="shared" si="1"/>
        <v>2026-05</v>
      </c>
      <c r="D342" s="12">
        <v>46182.0</v>
      </c>
      <c r="E342" s="12">
        <v>46180.0</v>
      </c>
      <c r="F342" s="2" t="s">
        <v>181</v>
      </c>
      <c r="G342" s="2" t="str">
        <f>VLOOKUP(F342,Tabela_1[#ALL],2,0)</f>
        <v>Mercatto Comércio</v>
      </c>
      <c r="H342" s="2" t="str">
        <f>VLOOKUP(F342,Tabela_1[#ALL],3,0)</f>
        <v>varejo</v>
      </c>
      <c r="I342" s="2" t="s">
        <v>39</v>
      </c>
      <c r="J342" s="2">
        <v>2.0</v>
      </c>
      <c r="K342" s="14">
        <v>9136.4</v>
      </c>
      <c r="L342" s="14">
        <v>7776.7</v>
      </c>
      <c r="M342" s="14">
        <v>1359.7</v>
      </c>
      <c r="N342" s="14">
        <v>80.0</v>
      </c>
      <c r="O342" s="14">
        <f t="shared" si="2"/>
        <v>1279.7</v>
      </c>
      <c r="P342" s="2" t="s">
        <v>2597</v>
      </c>
    </row>
    <row r="343" ht="22.5" customHeight="1">
      <c r="A343" s="2" t="s">
        <v>1394</v>
      </c>
      <c r="B343" s="12">
        <v>46161.0</v>
      </c>
      <c r="C343" s="13" t="str">
        <f t="shared" si="1"/>
        <v>2026-05</v>
      </c>
      <c r="D343" s="12">
        <v>46190.0</v>
      </c>
      <c r="E343" s="12">
        <v>46192.0</v>
      </c>
      <c r="F343" s="2" t="s">
        <v>199</v>
      </c>
      <c r="G343" s="2" t="str">
        <f>VLOOKUP(F343,Tabela_1[#ALL],2,0)</f>
        <v>DistribuPlus Ltda</v>
      </c>
      <c r="H343" s="2" t="str">
        <f>VLOOKUP(F343,Tabela_1[#ALL],3,0)</f>
        <v>distribuidor</v>
      </c>
      <c r="I343" s="2" t="s">
        <v>22</v>
      </c>
      <c r="J343" s="2">
        <v>2.0</v>
      </c>
      <c r="K343" s="14">
        <v>10483.2</v>
      </c>
      <c r="L343" s="14">
        <v>9360.0</v>
      </c>
      <c r="M343" s="14">
        <v>1123.2</v>
      </c>
      <c r="N343" s="14">
        <v>2663.0</v>
      </c>
      <c r="O343" s="14">
        <f t="shared" si="2"/>
        <v>-1539.8</v>
      </c>
      <c r="P343" s="2" t="s">
        <v>2597</v>
      </c>
    </row>
    <row r="344" ht="22.5" customHeight="1">
      <c r="A344" s="2" t="s">
        <v>1395</v>
      </c>
      <c r="B344" s="12">
        <v>46161.0</v>
      </c>
      <c r="C344" s="13" t="str">
        <f t="shared" si="1"/>
        <v>2026-05</v>
      </c>
      <c r="D344" s="12">
        <v>46187.0</v>
      </c>
      <c r="E344" s="12">
        <v>46187.0</v>
      </c>
      <c r="F344" s="2" t="s">
        <v>227</v>
      </c>
      <c r="G344" s="2" t="str">
        <f>VLOOKUP(F344,Tabela_1[#ALL],2,0)</f>
        <v>Granoma Alimentos Indústria</v>
      </c>
      <c r="H344" s="2" t="str">
        <f>VLOOKUP(F344,Tabela_1[#ALL],3,0)</f>
        <v>alimenticio</v>
      </c>
      <c r="I344" s="2" t="s">
        <v>56</v>
      </c>
      <c r="J344" s="2">
        <v>1.0</v>
      </c>
      <c r="K344" s="14">
        <v>7148.4</v>
      </c>
      <c r="L344" s="14">
        <v>5616.6</v>
      </c>
      <c r="M344" s="14">
        <v>1531.8</v>
      </c>
      <c r="N344" s="14">
        <v>530.0</v>
      </c>
      <c r="O344" s="14">
        <f t="shared" si="2"/>
        <v>1001.8</v>
      </c>
      <c r="P344" s="2" t="s">
        <v>2597</v>
      </c>
    </row>
    <row r="345" ht="22.5" customHeight="1">
      <c r="A345" s="2" t="s">
        <v>1397</v>
      </c>
      <c r="B345" s="12">
        <v>46162.0</v>
      </c>
      <c r="C345" s="13" t="str">
        <f t="shared" si="1"/>
        <v>2026-05</v>
      </c>
      <c r="D345" s="12">
        <v>46185.0</v>
      </c>
      <c r="E345" s="12">
        <v>46187.0</v>
      </c>
      <c r="F345" s="2" t="s">
        <v>10</v>
      </c>
      <c r="G345" s="2" t="str">
        <f>VLOOKUP(F345,Tabela_1[#ALL],2,0)</f>
        <v>AgroMar</v>
      </c>
      <c r="H345" s="2" t="str">
        <f>VLOOKUP(F345,Tabela_1[#ALL],3,0)</f>
        <v>alimenticio</v>
      </c>
      <c r="I345" s="2" t="s">
        <v>16</v>
      </c>
      <c r="J345" s="2">
        <v>1.0</v>
      </c>
      <c r="K345" s="14">
        <v>237431.0</v>
      </c>
      <c r="L345" s="14">
        <v>179521.0</v>
      </c>
      <c r="M345" s="14">
        <v>57910.0</v>
      </c>
      <c r="N345" s="14">
        <v>10903.0</v>
      </c>
      <c r="O345" s="14">
        <f t="shared" si="2"/>
        <v>47007</v>
      </c>
      <c r="P345" s="2" t="s">
        <v>2597</v>
      </c>
    </row>
    <row r="346" ht="22.5" customHeight="1">
      <c r="A346" s="2" t="s">
        <v>1398</v>
      </c>
      <c r="B346" s="12">
        <v>46162.0</v>
      </c>
      <c r="C346" s="13" t="str">
        <f t="shared" si="1"/>
        <v>2026-05</v>
      </c>
      <c r="D346" s="12">
        <v>46197.0</v>
      </c>
      <c r="E346" s="12">
        <v>46194.0</v>
      </c>
      <c r="F346" s="2" t="s">
        <v>51</v>
      </c>
      <c r="G346" s="2" t="str">
        <f>VLOOKUP(F346,Tabela_1[#ALL],2,0)</f>
        <v>LogiPack</v>
      </c>
      <c r="H346" s="2" t="str">
        <f>VLOOKUP(F346,Tabela_1[#ALL],3,0)</f>
        <v>logistica</v>
      </c>
      <c r="I346" s="2" t="s">
        <v>56</v>
      </c>
      <c r="J346" s="2">
        <v>3.0</v>
      </c>
      <c r="K346" s="14">
        <v>83015.8</v>
      </c>
      <c r="L346" s="14">
        <v>69509.3</v>
      </c>
      <c r="M346" s="14">
        <v>13506.5</v>
      </c>
      <c r="N346" s="14">
        <v>1771.0</v>
      </c>
      <c r="O346" s="14">
        <f t="shared" si="2"/>
        <v>11735.5</v>
      </c>
      <c r="P346" s="2" t="s">
        <v>2597</v>
      </c>
    </row>
    <row r="347" ht="22.5" customHeight="1">
      <c r="A347" s="2" t="s">
        <v>1405</v>
      </c>
      <c r="B347" s="12">
        <v>46162.0</v>
      </c>
      <c r="C347" s="13" t="str">
        <f t="shared" si="1"/>
        <v>2026-05</v>
      </c>
      <c r="D347" s="12">
        <v>46195.0</v>
      </c>
      <c r="E347" s="12">
        <v>46196.0</v>
      </c>
      <c r="F347" s="2" t="s">
        <v>86</v>
      </c>
      <c r="G347" s="2" t="str">
        <f>VLOOKUP(F347,Tabela_1[#ALL],2,0)</f>
        <v>Padaria do Seu Joaquim</v>
      </c>
      <c r="H347" s="2" t="str">
        <f>VLOOKUP(F347,Tabela_1[#ALL],3,0)</f>
        <v>outros</v>
      </c>
      <c r="I347" s="2" t="s">
        <v>39</v>
      </c>
      <c r="J347" s="2">
        <v>2.0</v>
      </c>
      <c r="K347" s="14">
        <v>5429.2</v>
      </c>
      <c r="L347" s="14">
        <v>4847.5</v>
      </c>
      <c r="M347" s="14">
        <v>581.7</v>
      </c>
      <c r="N347" s="14">
        <v>362.0</v>
      </c>
      <c r="O347" s="14">
        <f t="shared" si="2"/>
        <v>219.7</v>
      </c>
      <c r="P347" s="2" t="s">
        <v>2597</v>
      </c>
    </row>
    <row r="348" ht="22.5" customHeight="1">
      <c r="A348" s="2" t="s">
        <v>1407</v>
      </c>
      <c r="B348" s="12">
        <v>46162.0</v>
      </c>
      <c r="C348" s="13" t="str">
        <f t="shared" si="1"/>
        <v>2026-05</v>
      </c>
      <c r="D348" s="12">
        <v>46180.0</v>
      </c>
      <c r="E348" s="12">
        <v>46179.0</v>
      </c>
      <c r="F348" s="2" t="s">
        <v>149</v>
      </c>
      <c r="G348" s="2" t="str">
        <f>VLOOKUP(F348,Tabela_1[#ALL],2,0)</f>
        <v>EnviaTudo Comércio</v>
      </c>
      <c r="H348" s="2" t="str">
        <f>VLOOKUP(F348,Tabela_1[#ALL],3,0)</f>
        <v>ecommerce</v>
      </c>
      <c r="I348" s="2" t="s">
        <v>91</v>
      </c>
      <c r="J348" s="2">
        <v>1.0</v>
      </c>
      <c r="K348" s="14">
        <v>4221.0</v>
      </c>
      <c r="L348" s="14">
        <v>3417.0</v>
      </c>
      <c r="M348" s="14">
        <v>804.0</v>
      </c>
      <c r="N348" s="14">
        <v>2589.0</v>
      </c>
      <c r="O348" s="14">
        <f t="shared" si="2"/>
        <v>-1785</v>
      </c>
      <c r="P348" s="2" t="s">
        <v>2597</v>
      </c>
    </row>
    <row r="349" ht="22.5" customHeight="1">
      <c r="A349" s="2" t="s">
        <v>1408</v>
      </c>
      <c r="B349" s="12">
        <v>46162.0</v>
      </c>
      <c r="C349" s="13" t="str">
        <f t="shared" si="1"/>
        <v>2026-05</v>
      </c>
      <c r="D349" s="12">
        <v>46182.0</v>
      </c>
      <c r="E349" s="12">
        <v>46183.0</v>
      </c>
      <c r="F349" s="2" t="s">
        <v>229</v>
      </c>
      <c r="G349" s="2" t="str">
        <f>VLOOKUP(F349,Tabela_1[#ALL],2,0)</f>
        <v>Sirena Perfumaria S.A.</v>
      </c>
      <c r="H349" s="2" t="str">
        <f>VLOOKUP(F349,Tabela_1[#ALL],3,0)</f>
        <v>cosmetico</v>
      </c>
      <c r="I349" s="2" t="s">
        <v>91</v>
      </c>
      <c r="J349" s="2">
        <v>2.0</v>
      </c>
      <c r="K349" s="14">
        <v>23997.0</v>
      </c>
      <c r="L349" s="14">
        <v>20127.1</v>
      </c>
      <c r="M349" s="14">
        <v>3869.9</v>
      </c>
      <c r="N349" s="14">
        <v>3513.0</v>
      </c>
      <c r="O349" s="14">
        <f t="shared" si="2"/>
        <v>356.9</v>
      </c>
      <c r="P349" s="2" t="s">
        <v>2597</v>
      </c>
    </row>
    <row r="350" ht="22.5" customHeight="1">
      <c r="A350" s="2" t="s">
        <v>1411</v>
      </c>
      <c r="B350" s="12">
        <v>46163.0</v>
      </c>
      <c r="C350" s="13" t="str">
        <f t="shared" si="1"/>
        <v>2026-05</v>
      </c>
      <c r="D350" s="12">
        <v>46194.0</v>
      </c>
      <c r="E350" s="12">
        <v>46201.0</v>
      </c>
      <c r="F350" s="2" t="s">
        <v>59</v>
      </c>
      <c r="G350" s="2" t="str">
        <f>VLOOKUP(F350,Tabela_1[#ALL],2,0)</f>
        <v>BioGenova</v>
      </c>
      <c r="H350" s="2" t="str">
        <f>VLOOKUP(F350,Tabela_1[#ALL],3,0)</f>
        <v>farmaceutico</v>
      </c>
      <c r="I350" s="2" t="s">
        <v>49</v>
      </c>
      <c r="J350" s="2">
        <v>1.0</v>
      </c>
      <c r="K350" s="14">
        <v>84350.6</v>
      </c>
      <c r="L350" s="14">
        <v>70705.65</v>
      </c>
      <c r="M350" s="14">
        <v>13644.95</v>
      </c>
      <c r="N350" s="14">
        <v>13010.0</v>
      </c>
      <c r="O350" s="14">
        <f t="shared" si="2"/>
        <v>634.95</v>
      </c>
      <c r="P350" s="2" t="s">
        <v>2597</v>
      </c>
    </row>
    <row r="351" ht="22.5" customHeight="1">
      <c r="A351" s="2" t="s">
        <v>1415</v>
      </c>
      <c r="B351" s="12">
        <v>46163.0</v>
      </c>
      <c r="C351" s="13" t="str">
        <f t="shared" si="1"/>
        <v>2026-05</v>
      </c>
      <c r="D351" s="12">
        <v>46180.0</v>
      </c>
      <c r="E351" s="12">
        <v>46178.0</v>
      </c>
      <c r="F351" s="2" t="s">
        <v>61</v>
      </c>
      <c r="G351" s="2" t="str">
        <f>VLOOKUP(F351,Tabela_1[#ALL],2,0)</f>
        <v>Mercosul Atacado</v>
      </c>
      <c r="H351" s="2" t="str">
        <f>VLOOKUP(F351,Tabela_1[#ALL],3,0)</f>
        <v>distribuidor</v>
      </c>
      <c r="I351" s="2" t="s">
        <v>39</v>
      </c>
      <c r="J351" s="2">
        <v>3.0</v>
      </c>
      <c r="K351" s="14">
        <v>20692.1</v>
      </c>
      <c r="L351" s="14">
        <v>17728.6</v>
      </c>
      <c r="M351" s="14">
        <v>2963.5</v>
      </c>
      <c r="N351" s="14">
        <v>2859.0</v>
      </c>
      <c r="O351" s="14">
        <f t="shared" si="2"/>
        <v>104.5</v>
      </c>
      <c r="P351" s="2" t="s">
        <v>2597</v>
      </c>
    </row>
    <row r="352" ht="22.5" customHeight="1">
      <c r="A352" s="2" t="s">
        <v>1419</v>
      </c>
      <c r="B352" s="12">
        <v>46163.0</v>
      </c>
      <c r="C352" s="13" t="str">
        <f t="shared" si="1"/>
        <v>2026-05</v>
      </c>
      <c r="D352" s="12">
        <v>46181.0</v>
      </c>
      <c r="E352" s="12">
        <v>46178.0</v>
      </c>
      <c r="F352" s="2" t="s">
        <v>69</v>
      </c>
      <c r="G352" s="2" t="str">
        <f>VLOOKUP(F352,Tabela_1[#ALL],2,0)</f>
        <v>Naturalle</v>
      </c>
      <c r="H352" s="2" t="str">
        <f>VLOOKUP(F352,Tabela_1[#ALL],3,0)</f>
        <v>cosmetico</v>
      </c>
      <c r="I352" s="2" t="s">
        <v>39</v>
      </c>
      <c r="J352" s="2">
        <v>2.0</v>
      </c>
      <c r="K352" s="14">
        <v>35061.6</v>
      </c>
      <c r="L352" s="14">
        <v>27548.4</v>
      </c>
      <c r="M352" s="14">
        <v>7513.2</v>
      </c>
      <c r="N352" s="14">
        <v>309.0</v>
      </c>
      <c r="O352" s="14">
        <f t="shared" si="2"/>
        <v>7204.2</v>
      </c>
      <c r="P352" s="2" t="s">
        <v>2597</v>
      </c>
    </row>
    <row r="353" ht="22.5" customHeight="1">
      <c r="A353" s="2" t="s">
        <v>1422</v>
      </c>
      <c r="B353" s="12">
        <v>46163.0</v>
      </c>
      <c r="C353" s="13" t="str">
        <f t="shared" si="1"/>
        <v>2026-05</v>
      </c>
      <c r="D353" s="12">
        <v>46182.0</v>
      </c>
      <c r="F353" s="2" t="s">
        <v>74</v>
      </c>
      <c r="G353" s="2" t="str">
        <f>VLOOKUP(F353,Tabela_1[#ALL],2,0)</f>
        <v>EnvioFácil</v>
      </c>
      <c r="H353" s="2" t="str">
        <f>VLOOKUP(F353,Tabela_1[#ALL],3,0)</f>
        <v>ecommerce</v>
      </c>
      <c r="I353" s="2" t="s">
        <v>56</v>
      </c>
      <c r="J353" s="2">
        <v>2.0</v>
      </c>
      <c r="K353" s="14">
        <v>28568.4</v>
      </c>
      <c r="L353" s="14">
        <v>25507.5</v>
      </c>
      <c r="M353" s="14">
        <v>3060.9</v>
      </c>
      <c r="N353" s="14">
        <v>1809.0</v>
      </c>
      <c r="O353" s="14">
        <f t="shared" si="2"/>
        <v>1251.9</v>
      </c>
      <c r="P353" s="2" t="s">
        <v>2600</v>
      </c>
    </row>
    <row r="354" ht="22.5" customHeight="1">
      <c r="A354" s="2" t="s">
        <v>1428</v>
      </c>
      <c r="B354" s="12">
        <v>46163.0</v>
      </c>
      <c r="C354" s="13" t="str">
        <f t="shared" si="1"/>
        <v>2026-05</v>
      </c>
      <c r="D354" s="12">
        <v>46178.0</v>
      </c>
      <c r="E354" s="12">
        <v>46185.0</v>
      </c>
      <c r="F354" s="2" t="s">
        <v>98</v>
      </c>
      <c r="G354" s="2" t="str">
        <f>VLOOKUP(F354,Tabela_1[#ALL],2,0)</f>
        <v>Atacarejo Maringá</v>
      </c>
      <c r="H354" s="2" t="str">
        <f>VLOOKUP(F354,Tabela_1[#ALL],3,0)</f>
        <v>distribuidor</v>
      </c>
      <c r="I354" s="2" t="s">
        <v>43</v>
      </c>
      <c r="J354" s="2">
        <v>3.0</v>
      </c>
      <c r="K354" s="14">
        <v>10053.5</v>
      </c>
      <c r="L354" s="14">
        <v>7635.9</v>
      </c>
      <c r="M354" s="14">
        <v>2417.6</v>
      </c>
      <c r="N354" s="14">
        <v>2995.0</v>
      </c>
      <c r="O354" s="14">
        <f t="shared" si="2"/>
        <v>-577.4</v>
      </c>
      <c r="P354" s="2" t="s">
        <v>2597</v>
      </c>
    </row>
    <row r="355" ht="22.5" customHeight="1">
      <c r="A355" s="2" t="s">
        <v>1432</v>
      </c>
      <c r="B355" s="12">
        <v>46163.0</v>
      </c>
      <c r="C355" s="13" t="str">
        <f t="shared" si="1"/>
        <v>2026-05</v>
      </c>
      <c r="D355" s="12">
        <v>46194.0</v>
      </c>
      <c r="E355" s="12">
        <v>46196.0</v>
      </c>
      <c r="F355" s="2" t="s">
        <v>106</v>
      </c>
      <c r="G355" s="2" t="str">
        <f>VLOOKUP(F355,Tabela_1[#ALL],2,0)</f>
        <v>DistribuPlus</v>
      </c>
      <c r="H355" s="2" t="str">
        <f>VLOOKUP(F355,Tabela_1[#ALL],3,0)</f>
        <v>distribuidor</v>
      </c>
      <c r="I355" s="2" t="s">
        <v>22</v>
      </c>
      <c r="J355" s="2">
        <v>2.0</v>
      </c>
      <c r="K355" s="14">
        <v>9727.2</v>
      </c>
      <c r="L355" s="14">
        <v>8279.7</v>
      </c>
      <c r="M355" s="14">
        <v>1447.5</v>
      </c>
      <c r="N355" s="14">
        <v>1857.0</v>
      </c>
      <c r="O355" s="14">
        <f t="shared" si="2"/>
        <v>-409.5</v>
      </c>
      <c r="P355" s="2" t="s">
        <v>2597</v>
      </c>
    </row>
    <row r="356" ht="22.5" customHeight="1">
      <c r="A356" s="2" t="s">
        <v>1435</v>
      </c>
      <c r="B356" s="12">
        <v>46163.0</v>
      </c>
      <c r="C356" s="13" t="str">
        <f t="shared" si="1"/>
        <v>2026-05</v>
      </c>
      <c r="D356" s="12">
        <v>46194.0</v>
      </c>
      <c r="E356" s="12">
        <v>46193.0</v>
      </c>
      <c r="F356" s="2" t="s">
        <v>165</v>
      </c>
      <c r="G356" s="2" t="str">
        <f>VLOOKUP(F356,Tabela_1[#ALL],2,0)</f>
        <v>Laticínios Boa Vista Comércio</v>
      </c>
      <c r="H356" s="2" t="str">
        <f>VLOOKUP(F356,Tabela_1[#ALL],3,0)</f>
        <v>alimenticio</v>
      </c>
      <c r="I356" s="2" t="s">
        <v>39</v>
      </c>
      <c r="J356" s="2">
        <v>3.0</v>
      </c>
      <c r="K356" s="14">
        <v>7638.4</v>
      </c>
      <c r="L356" s="14">
        <v>6332.1</v>
      </c>
      <c r="M356" s="14">
        <v>1306.3</v>
      </c>
      <c r="N356" s="14">
        <v>1290.0</v>
      </c>
      <c r="O356" s="14">
        <f t="shared" si="2"/>
        <v>16.3</v>
      </c>
      <c r="P356" s="2" t="s">
        <v>2597</v>
      </c>
    </row>
    <row r="357" ht="22.5" customHeight="1">
      <c r="A357" s="2" t="s">
        <v>1438</v>
      </c>
      <c r="B357" s="12">
        <v>46163.0</v>
      </c>
      <c r="C357" s="13" t="str">
        <f t="shared" si="1"/>
        <v>2026-05</v>
      </c>
      <c r="D357" s="12">
        <v>46183.0</v>
      </c>
      <c r="E357" s="12">
        <v>46185.0</v>
      </c>
      <c r="F357" s="2" t="s">
        <v>177</v>
      </c>
      <c r="G357" s="2" t="str">
        <f>VLOOKUP(F357,Tabela_1[#ALL],2,0)</f>
        <v>EntregaCerta ME</v>
      </c>
      <c r="H357" s="2" t="str">
        <f>VLOOKUP(F357,Tabela_1[#ALL],3,0)</f>
        <v>ecommerce</v>
      </c>
      <c r="I357" s="2" t="s">
        <v>91</v>
      </c>
      <c r="J357" s="2">
        <v>1.0</v>
      </c>
      <c r="K357" s="14">
        <v>32558.4</v>
      </c>
      <c r="L357" s="14">
        <v>25581.6</v>
      </c>
      <c r="M357" s="14">
        <v>6976.8</v>
      </c>
      <c r="N357" s="14">
        <v>4604.0</v>
      </c>
      <c r="O357" s="14">
        <f t="shared" si="2"/>
        <v>2372.8</v>
      </c>
      <c r="P357" s="2" t="s">
        <v>2597</v>
      </c>
    </row>
    <row r="358" ht="22.5" customHeight="1">
      <c r="A358" s="2" t="s">
        <v>1441</v>
      </c>
      <c r="B358" s="12">
        <v>46163.0</v>
      </c>
      <c r="C358" s="13" t="str">
        <f t="shared" si="1"/>
        <v>2026-05</v>
      </c>
      <c r="D358" s="12">
        <v>46181.0</v>
      </c>
      <c r="E358" s="12">
        <v>46178.0</v>
      </c>
      <c r="F358" s="2" t="s">
        <v>199</v>
      </c>
      <c r="G358" s="2" t="str">
        <f>VLOOKUP(F358,Tabela_1[#ALL],2,0)</f>
        <v>DistribuPlus Ltda</v>
      </c>
      <c r="H358" s="2" t="str">
        <f>VLOOKUP(F358,Tabela_1[#ALL],3,0)</f>
        <v>distribuidor</v>
      </c>
      <c r="I358" s="2" t="s">
        <v>22</v>
      </c>
      <c r="J358" s="2">
        <v>3.0</v>
      </c>
      <c r="K358" s="14">
        <v>33800.3</v>
      </c>
      <c r="L358" s="14">
        <v>28020.5</v>
      </c>
      <c r="M358" s="14">
        <v>5779.8</v>
      </c>
      <c r="N358" s="14">
        <v>1936.0</v>
      </c>
      <c r="O358" s="14">
        <f t="shared" si="2"/>
        <v>3843.8</v>
      </c>
      <c r="P358" s="2" t="s">
        <v>2597</v>
      </c>
    </row>
    <row r="359" ht="22.5" customHeight="1">
      <c r="A359" s="2" t="s">
        <v>1446</v>
      </c>
      <c r="B359" s="12">
        <v>46164.0</v>
      </c>
      <c r="C359" s="13" t="str">
        <f t="shared" si="1"/>
        <v>2026-05</v>
      </c>
      <c r="D359" s="12">
        <v>46195.0</v>
      </c>
      <c r="E359" s="12">
        <v>46194.0</v>
      </c>
      <c r="F359" s="2" t="s">
        <v>19</v>
      </c>
      <c r="G359" s="2" t="str">
        <f>VLOOKUP(F359,Tabela_1[#ALL],2,0)</f>
        <v>NorteAgro</v>
      </c>
      <c r="H359" s="2" t="str">
        <f>VLOOKUP(F359,Tabela_1[#ALL],3,0)</f>
        <v>alimenticio</v>
      </c>
      <c r="I359" s="2" t="s">
        <v>22</v>
      </c>
      <c r="J359" s="2">
        <v>1.0</v>
      </c>
      <c r="K359" s="14">
        <v>182117.6</v>
      </c>
      <c r="L359" s="14">
        <v>136588.2</v>
      </c>
      <c r="M359" s="14">
        <v>45529.4</v>
      </c>
      <c r="N359" s="14">
        <v>5959.0</v>
      </c>
      <c r="O359" s="14">
        <f t="shared" si="2"/>
        <v>39570.4</v>
      </c>
      <c r="P359" s="2" t="s">
        <v>2597</v>
      </c>
    </row>
    <row r="360" ht="22.5" customHeight="1">
      <c r="A360" s="2" t="s">
        <v>1450</v>
      </c>
      <c r="B360" s="12">
        <v>46164.0</v>
      </c>
      <c r="C360" s="13" t="str">
        <f t="shared" si="1"/>
        <v>2026-05</v>
      </c>
      <c r="D360" s="12">
        <v>46195.0</v>
      </c>
      <c r="E360" s="12">
        <v>46192.0</v>
      </c>
      <c r="F360" s="2" t="s">
        <v>51</v>
      </c>
      <c r="G360" s="2" t="str">
        <f>VLOOKUP(F360,Tabela_1[#ALL],2,0)</f>
        <v>LogiPack</v>
      </c>
      <c r="H360" s="2" t="str">
        <f>VLOOKUP(F360,Tabela_1[#ALL],3,0)</f>
        <v>logistica</v>
      </c>
      <c r="I360" s="2" t="s">
        <v>56</v>
      </c>
      <c r="J360" s="2">
        <v>1.0</v>
      </c>
      <c r="K360" s="14">
        <v>41632.5</v>
      </c>
      <c r="L360" s="14">
        <v>32665.5</v>
      </c>
      <c r="M360" s="14">
        <v>8967.0</v>
      </c>
      <c r="N360" s="14">
        <v>1295.0</v>
      </c>
      <c r="O360" s="14">
        <f t="shared" si="2"/>
        <v>7672</v>
      </c>
      <c r="P360" s="2" t="s">
        <v>2597</v>
      </c>
    </row>
    <row r="361" ht="22.5" customHeight="1">
      <c r="A361" s="2" t="s">
        <v>1453</v>
      </c>
      <c r="B361" s="12">
        <v>46164.0</v>
      </c>
      <c r="C361" s="13" t="str">
        <f t="shared" si="1"/>
        <v>2026-05</v>
      </c>
      <c r="D361" s="12">
        <v>46190.0</v>
      </c>
      <c r="E361" s="12">
        <v>46192.0</v>
      </c>
      <c r="F361" s="2" t="s">
        <v>88</v>
      </c>
      <c r="G361" s="2" t="str">
        <f>VLOOKUP(F361,Tabela_1[#ALL],2,0)</f>
        <v>Atacadão Centro Oeste</v>
      </c>
      <c r="H361" s="2" t="str">
        <f>VLOOKUP(F361,Tabela_1[#ALL],3,0)</f>
        <v>distribuidor</v>
      </c>
      <c r="I361" s="2" t="s">
        <v>91</v>
      </c>
      <c r="J361" s="2">
        <v>2.0</v>
      </c>
      <c r="K361" s="14">
        <v>9814.0</v>
      </c>
      <c r="L361" s="14">
        <v>8353.7</v>
      </c>
      <c r="M361" s="14">
        <v>1460.3</v>
      </c>
      <c r="N361" s="14">
        <v>694.0</v>
      </c>
      <c r="O361" s="14">
        <f t="shared" si="2"/>
        <v>766.3</v>
      </c>
      <c r="P361" s="2" t="s">
        <v>2597</v>
      </c>
    </row>
    <row r="362" ht="22.5" customHeight="1">
      <c r="A362" s="2" t="s">
        <v>1456</v>
      </c>
      <c r="B362" s="12">
        <v>46164.0</v>
      </c>
      <c r="C362" s="13" t="str">
        <f t="shared" si="1"/>
        <v>2026-05</v>
      </c>
      <c r="D362" s="12">
        <v>46185.0</v>
      </c>
      <c r="E362" s="12">
        <v>46186.0</v>
      </c>
      <c r="F362" s="2" t="s">
        <v>145</v>
      </c>
      <c r="G362" s="2" t="str">
        <f>VLOOKUP(F362,Tabela_1[#ALL],2,0)</f>
        <v>Mercado Vale Ltda</v>
      </c>
      <c r="H362" s="2" t="str">
        <f>VLOOKUP(F362,Tabela_1[#ALL],3,0)</f>
        <v>varejo</v>
      </c>
      <c r="I362" s="2" t="s">
        <v>91</v>
      </c>
      <c r="J362" s="2">
        <v>2.0</v>
      </c>
      <c r="K362" s="14">
        <v>8422.4</v>
      </c>
      <c r="L362" s="14">
        <v>7520.0</v>
      </c>
      <c r="M362" s="14">
        <v>902.4</v>
      </c>
      <c r="N362" s="14">
        <v>1651.0</v>
      </c>
      <c r="O362" s="14">
        <f t="shared" si="2"/>
        <v>-748.6</v>
      </c>
      <c r="P362" s="2" t="s">
        <v>2597</v>
      </c>
    </row>
    <row r="363" ht="22.5" customHeight="1">
      <c r="A363" s="2" t="s">
        <v>1458</v>
      </c>
      <c r="B363" s="12">
        <v>46164.0</v>
      </c>
      <c r="C363" s="13" t="str">
        <f t="shared" si="1"/>
        <v>2026-05</v>
      </c>
      <c r="D363" s="12">
        <v>46186.0</v>
      </c>
      <c r="F363" s="2" t="s">
        <v>173</v>
      </c>
      <c r="G363" s="2" t="str">
        <f>VLOOKUP(F363,Tabela_1[#ALL],2,0)</f>
        <v>Distribuidora Sul Sul Ltda</v>
      </c>
      <c r="H363" s="2" t="str">
        <f>VLOOKUP(F363,Tabela_1[#ALL],3,0)</f>
        <v>distribuidor</v>
      </c>
      <c r="I363" s="2" t="s">
        <v>56</v>
      </c>
      <c r="J363" s="2">
        <v>2.0</v>
      </c>
      <c r="K363" s="14">
        <v>4277.0</v>
      </c>
      <c r="L363" s="14">
        <v>3640.6</v>
      </c>
      <c r="M363" s="14">
        <v>636.4</v>
      </c>
      <c r="N363" s="14">
        <v>1763.0</v>
      </c>
      <c r="O363" s="14">
        <f t="shared" si="2"/>
        <v>-1126.6</v>
      </c>
      <c r="P363" s="2" t="s">
        <v>2600</v>
      </c>
    </row>
    <row r="364" ht="22.5" customHeight="1">
      <c r="A364" s="2" t="s">
        <v>1461</v>
      </c>
      <c r="B364" s="12">
        <v>46164.0</v>
      </c>
      <c r="C364" s="13" t="str">
        <f t="shared" si="1"/>
        <v>2026-05</v>
      </c>
      <c r="D364" s="12">
        <v>46182.0</v>
      </c>
      <c r="E364" s="12">
        <v>46182.0</v>
      </c>
      <c r="F364" s="2" t="s">
        <v>173</v>
      </c>
      <c r="G364" s="2" t="str">
        <f>VLOOKUP(F364,Tabela_1[#ALL],2,0)</f>
        <v>Distribuidora Sul Sul Ltda</v>
      </c>
      <c r="H364" s="2" t="str">
        <f>VLOOKUP(F364,Tabela_1[#ALL],3,0)</f>
        <v>distribuidor</v>
      </c>
      <c r="I364" s="2" t="s">
        <v>56</v>
      </c>
      <c r="J364" s="2">
        <v>3.0</v>
      </c>
      <c r="K364" s="14">
        <v>12722.0</v>
      </c>
      <c r="L364" s="14">
        <v>10193.2</v>
      </c>
      <c r="M364" s="14">
        <v>2528.8</v>
      </c>
      <c r="N364" s="14">
        <v>1726.0</v>
      </c>
      <c r="O364" s="14">
        <f t="shared" si="2"/>
        <v>802.8</v>
      </c>
      <c r="P364" s="2" t="s">
        <v>2597</v>
      </c>
    </row>
    <row r="365" ht="22.5" customHeight="1">
      <c r="A365" s="2" t="s">
        <v>1463</v>
      </c>
      <c r="B365" s="12">
        <v>46164.0</v>
      </c>
      <c r="C365" s="13" t="str">
        <f t="shared" si="1"/>
        <v>2026-05</v>
      </c>
      <c r="D365" s="12">
        <v>46197.0</v>
      </c>
      <c r="E365" s="12">
        <v>46195.0</v>
      </c>
      <c r="F365" s="2" t="s">
        <v>213</v>
      </c>
      <c r="G365" s="2" t="str">
        <f>VLOOKUP(F365,Tabela_1[#ALL],2,0)</f>
        <v>Doce Vale ME</v>
      </c>
      <c r="H365" s="2" t="str">
        <f>VLOOKUP(F365,Tabela_1[#ALL],3,0)</f>
        <v>alimenticio</v>
      </c>
      <c r="I365" s="2" t="s">
        <v>39</v>
      </c>
      <c r="J365" s="2">
        <v>3.0</v>
      </c>
      <c r="K365" s="14">
        <v>34209.0</v>
      </c>
      <c r="L365" s="14">
        <v>29593.5</v>
      </c>
      <c r="M365" s="14">
        <v>4615.5</v>
      </c>
      <c r="N365" s="14">
        <v>2355.0</v>
      </c>
      <c r="O365" s="14">
        <f t="shared" si="2"/>
        <v>2260.5</v>
      </c>
      <c r="P365" s="2" t="s">
        <v>2597</v>
      </c>
    </row>
    <row r="366" ht="22.5" customHeight="1">
      <c r="A366" s="2" t="s">
        <v>1469</v>
      </c>
      <c r="B366" s="12">
        <v>46164.0</v>
      </c>
      <c r="C366" s="13" t="str">
        <f t="shared" si="1"/>
        <v>2026-05</v>
      </c>
      <c r="D366" s="12">
        <v>46188.0</v>
      </c>
      <c r="E366" s="12">
        <v>46185.0</v>
      </c>
      <c r="F366" s="2" t="s">
        <v>213</v>
      </c>
      <c r="G366" s="2" t="str">
        <f>VLOOKUP(F366,Tabela_1[#ALL],2,0)</f>
        <v>Doce Vale ME</v>
      </c>
      <c r="H366" s="2" t="str">
        <f>VLOOKUP(F366,Tabela_1[#ALL],3,0)</f>
        <v>alimenticio</v>
      </c>
      <c r="I366" s="2" t="s">
        <v>39</v>
      </c>
      <c r="J366" s="2">
        <v>2.0</v>
      </c>
      <c r="K366" s="14">
        <v>7575.1</v>
      </c>
      <c r="L366" s="14">
        <v>6353.3</v>
      </c>
      <c r="M366" s="14">
        <v>1221.8</v>
      </c>
      <c r="N366" s="14">
        <v>2254.0</v>
      </c>
      <c r="O366" s="14">
        <f t="shared" si="2"/>
        <v>-1032.2</v>
      </c>
      <c r="P366" s="2" t="s">
        <v>2597</v>
      </c>
    </row>
    <row r="367" ht="22.5" customHeight="1">
      <c r="A367" s="2" t="s">
        <v>1470</v>
      </c>
      <c r="B367" s="12">
        <v>46164.0</v>
      </c>
      <c r="C367" s="13" t="str">
        <f t="shared" si="1"/>
        <v>2026-05</v>
      </c>
      <c r="D367" s="12">
        <v>46197.0</v>
      </c>
      <c r="E367" s="12">
        <v>46194.0</v>
      </c>
      <c r="F367" s="2" t="s">
        <v>217</v>
      </c>
      <c r="G367" s="2" t="str">
        <f>VLOOKUP(F367,Tabela_1[#ALL],2,0)</f>
        <v>Cherie Cosméticos Ltda</v>
      </c>
      <c r="H367" s="2" t="str">
        <f>VLOOKUP(F367,Tabela_1[#ALL],3,0)</f>
        <v>cosmetico</v>
      </c>
      <c r="I367" s="2" t="s">
        <v>56</v>
      </c>
      <c r="J367" s="2">
        <v>3.0</v>
      </c>
      <c r="K367" s="14">
        <v>12231.9</v>
      </c>
      <c r="L367" s="14">
        <v>9800.5</v>
      </c>
      <c r="M367" s="14">
        <v>2431.4</v>
      </c>
      <c r="N367" s="14">
        <v>3473.0</v>
      </c>
      <c r="O367" s="14">
        <f t="shared" si="2"/>
        <v>-1041.6</v>
      </c>
      <c r="P367" s="2" t="s">
        <v>2597</v>
      </c>
    </row>
    <row r="368" ht="22.5" customHeight="1">
      <c r="A368" s="2" t="s">
        <v>1473</v>
      </c>
      <c r="B368" s="12">
        <v>46165.0</v>
      </c>
      <c r="C368" s="13" t="str">
        <f t="shared" si="1"/>
        <v>2026-05</v>
      </c>
      <c r="D368" s="12">
        <v>46196.0</v>
      </c>
      <c r="E368" s="12">
        <v>46195.0</v>
      </c>
      <c r="F368" s="2" t="s">
        <v>23</v>
      </c>
      <c r="G368" s="2" t="str">
        <f>VLOOKUP(F368,Tabela_1[#ALL],2,0)</f>
        <v>Nova Era Cosméticos</v>
      </c>
      <c r="H368" s="2" t="str">
        <f>VLOOKUP(F368,Tabela_1[#ALL],3,0)</f>
        <v>cosmetico</v>
      </c>
      <c r="I368" s="2" t="s">
        <v>22</v>
      </c>
      <c r="J368" s="2">
        <v>2.0</v>
      </c>
      <c r="K368" s="14">
        <v>274604.4</v>
      </c>
      <c r="L368" s="14">
        <v>230183.1</v>
      </c>
      <c r="M368" s="14">
        <v>44421.3</v>
      </c>
      <c r="N368" s="14">
        <v>8333.0</v>
      </c>
      <c r="O368" s="14">
        <f t="shared" si="2"/>
        <v>36088.3</v>
      </c>
      <c r="P368" s="2" t="s">
        <v>2597</v>
      </c>
    </row>
    <row r="369" ht="22.5" customHeight="1">
      <c r="A369" s="2" t="s">
        <v>1477</v>
      </c>
      <c r="B369" s="12">
        <v>46165.0</v>
      </c>
      <c r="C369" s="13" t="str">
        <f t="shared" si="1"/>
        <v>2026-05</v>
      </c>
      <c r="D369" s="12">
        <v>46184.0</v>
      </c>
      <c r="F369" s="2" t="s">
        <v>45</v>
      </c>
      <c r="G369" s="2" t="str">
        <f>VLOOKUP(F369,Tabela_1[#ALL],2,0)</f>
        <v>Bell Beauty</v>
      </c>
      <c r="H369" s="2" t="str">
        <f>VLOOKUP(F369,Tabela_1[#ALL],3,0)</f>
        <v>cosmetico</v>
      </c>
      <c r="I369" s="2" t="s">
        <v>49</v>
      </c>
      <c r="J369" s="2">
        <v>3.0</v>
      </c>
      <c r="K369" s="14">
        <v>106385.8</v>
      </c>
      <c r="L369" s="14">
        <v>84157.45</v>
      </c>
      <c r="M369" s="14">
        <v>22228.35</v>
      </c>
      <c r="N369" s="14">
        <v>11289.0</v>
      </c>
      <c r="O369" s="14">
        <f t="shared" si="2"/>
        <v>10939.35</v>
      </c>
      <c r="P369" s="2" t="s">
        <v>2600</v>
      </c>
    </row>
    <row r="370" ht="22.5" customHeight="1">
      <c r="A370" s="2" t="s">
        <v>1482</v>
      </c>
      <c r="B370" s="12">
        <v>46165.0</v>
      </c>
      <c r="C370" s="13" t="str">
        <f t="shared" si="1"/>
        <v>2026-05</v>
      </c>
      <c r="D370" s="12">
        <v>46200.0</v>
      </c>
      <c r="E370" s="12">
        <v>46197.0</v>
      </c>
      <c r="F370" s="2" t="s">
        <v>45</v>
      </c>
      <c r="G370" s="2" t="str">
        <f>VLOOKUP(F370,Tabela_1[#ALL],2,0)</f>
        <v>Bell Beauty</v>
      </c>
      <c r="H370" s="2" t="str">
        <f>VLOOKUP(F370,Tabela_1[#ALL],3,0)</f>
        <v>cosmetico</v>
      </c>
      <c r="I370" s="2" t="s">
        <v>49</v>
      </c>
      <c r="J370" s="2">
        <v>1.0</v>
      </c>
      <c r="K370" s="14">
        <v>145254.8</v>
      </c>
      <c r="L370" s="14">
        <v>108941.1</v>
      </c>
      <c r="M370" s="14">
        <v>36313.7</v>
      </c>
      <c r="N370" s="14">
        <v>11919.0</v>
      </c>
      <c r="O370" s="14">
        <f t="shared" si="2"/>
        <v>24394.7</v>
      </c>
      <c r="P370" s="2" t="s">
        <v>2597</v>
      </c>
    </row>
    <row r="371" ht="22.5" customHeight="1">
      <c r="A371" s="2" t="s">
        <v>1486</v>
      </c>
      <c r="B371" s="12">
        <v>46165.0</v>
      </c>
      <c r="C371" s="13" t="str">
        <f t="shared" si="1"/>
        <v>2026-05</v>
      </c>
      <c r="D371" s="12">
        <v>46197.0</v>
      </c>
      <c r="F371" s="2" t="s">
        <v>71</v>
      </c>
      <c r="G371" s="2" t="str">
        <f>VLOOKUP(F371,Tabela_1[#ALL],2,0)</f>
        <v>Supermercados Avenida</v>
      </c>
      <c r="H371" s="2" t="str">
        <f>VLOOKUP(F371,Tabela_1[#ALL],3,0)</f>
        <v>varejo</v>
      </c>
      <c r="I371" s="2" t="s">
        <v>39</v>
      </c>
      <c r="J371" s="2">
        <v>2.0</v>
      </c>
      <c r="K371" s="14">
        <v>44087.4</v>
      </c>
      <c r="L371" s="14">
        <v>35689.8</v>
      </c>
      <c r="M371" s="14">
        <v>8397.6</v>
      </c>
      <c r="N371" s="14">
        <v>133.0</v>
      </c>
      <c r="O371" s="14">
        <f t="shared" si="2"/>
        <v>8264.6</v>
      </c>
      <c r="P371" s="2" t="s">
        <v>2600</v>
      </c>
    </row>
    <row r="372" ht="22.5" customHeight="1">
      <c r="A372" s="2" t="s">
        <v>1491</v>
      </c>
      <c r="B372" s="12">
        <v>46165.0</v>
      </c>
      <c r="C372" s="13" t="str">
        <f t="shared" si="1"/>
        <v>2026-05</v>
      </c>
      <c r="D372" s="12">
        <v>46182.0</v>
      </c>
      <c r="E372" s="12">
        <v>46179.0</v>
      </c>
      <c r="F372" s="2" t="s">
        <v>225</v>
      </c>
      <c r="G372" s="2" t="str">
        <f>VLOOKUP(F372,Tabela_1[#ALL],2,0)</f>
        <v>Laticínios Boa Vista EPP</v>
      </c>
      <c r="H372" s="2" t="str">
        <f>VLOOKUP(F372,Tabela_1[#ALL],3,0)</f>
        <v>alimenticio</v>
      </c>
      <c r="I372" s="2" t="s">
        <v>49</v>
      </c>
      <c r="J372" s="2">
        <v>1.0</v>
      </c>
      <c r="K372" s="14">
        <v>89464.2</v>
      </c>
      <c r="L372" s="14">
        <v>72423.4</v>
      </c>
      <c r="M372" s="14">
        <v>17040.8</v>
      </c>
      <c r="N372" s="14">
        <v>790.0</v>
      </c>
      <c r="O372" s="14">
        <f t="shared" si="2"/>
        <v>16250.8</v>
      </c>
      <c r="P372" s="2" t="s">
        <v>2597</v>
      </c>
    </row>
    <row r="373" ht="22.5" customHeight="1">
      <c r="A373" s="2" t="s">
        <v>1495</v>
      </c>
      <c r="B373" s="12">
        <v>46166.0</v>
      </c>
      <c r="C373" s="13" t="str">
        <f t="shared" si="1"/>
        <v>2026-05</v>
      </c>
      <c r="D373" s="12">
        <v>46193.0</v>
      </c>
      <c r="E373" s="12">
        <v>46194.0</v>
      </c>
      <c r="F373" s="2" t="s">
        <v>31</v>
      </c>
      <c r="G373" s="2" t="str">
        <f>VLOOKUP(F373,Tabela_1[#ALL],2,0)</f>
        <v>Distribuidora Sul PR</v>
      </c>
      <c r="H373" s="2" t="str">
        <f>VLOOKUP(F373,Tabela_1[#ALL],3,0)</f>
        <v>distribuidor</v>
      </c>
      <c r="I373" s="2" t="s">
        <v>16</v>
      </c>
      <c r="J373" s="2">
        <v>3.0</v>
      </c>
      <c r="K373" s="14">
        <v>216419.7</v>
      </c>
      <c r="L373" s="14">
        <v>171603.1</v>
      </c>
      <c r="M373" s="14">
        <v>44816.6</v>
      </c>
      <c r="N373" s="14">
        <v>9428.0</v>
      </c>
      <c r="O373" s="14">
        <f t="shared" si="2"/>
        <v>35388.6</v>
      </c>
      <c r="P373" s="2" t="s">
        <v>2597</v>
      </c>
    </row>
    <row r="374" ht="22.5" customHeight="1">
      <c r="A374" s="2" t="s">
        <v>1504</v>
      </c>
      <c r="B374" s="12">
        <v>46166.0</v>
      </c>
      <c r="C374" s="13" t="str">
        <f t="shared" si="1"/>
        <v>2026-05</v>
      </c>
      <c r="D374" s="12">
        <v>46198.0</v>
      </c>
      <c r="E374" s="12">
        <v>46200.0</v>
      </c>
      <c r="F374" s="2" t="s">
        <v>103</v>
      </c>
      <c r="G374" s="2" t="str">
        <f>VLOOKUP(F374,Tabela_1[#ALL],2,0)</f>
        <v>Sabor da Terra</v>
      </c>
      <c r="H374" s="2" t="str">
        <f>VLOOKUP(F374,Tabela_1[#ALL],3,0)</f>
        <v>alimenticio</v>
      </c>
      <c r="I374" s="2" t="s">
        <v>91</v>
      </c>
      <c r="J374" s="2">
        <v>3.0</v>
      </c>
      <c r="K374" s="14">
        <v>9262.4</v>
      </c>
      <c r="L374" s="14">
        <v>7755.5</v>
      </c>
      <c r="M374" s="14">
        <v>1506.9</v>
      </c>
      <c r="N374" s="14">
        <v>2087.0</v>
      </c>
      <c r="O374" s="14">
        <f t="shared" si="2"/>
        <v>-580.1</v>
      </c>
      <c r="P374" s="2" t="s">
        <v>2597</v>
      </c>
    </row>
    <row r="375" ht="22.5" customHeight="1">
      <c r="A375" s="2" t="s">
        <v>1506</v>
      </c>
      <c r="B375" s="12">
        <v>46166.0</v>
      </c>
      <c r="C375" s="13" t="str">
        <f t="shared" si="1"/>
        <v>2026-05</v>
      </c>
      <c r="D375" s="12">
        <v>46181.0</v>
      </c>
      <c r="E375" s="12">
        <v>46181.0</v>
      </c>
      <c r="F375" s="2" t="s">
        <v>140</v>
      </c>
      <c r="G375" s="2" t="str">
        <f>VLOOKUP(F375,Tabela_1[#ALL],2,0)</f>
        <v>EssenciaPura Comércio</v>
      </c>
      <c r="H375" s="2" t="str">
        <f>VLOOKUP(F375,Tabela_1[#ALL],3,0)</f>
        <v>cosmetico</v>
      </c>
      <c r="I375" s="2" t="s">
        <v>56</v>
      </c>
      <c r="J375" s="2">
        <v>3.0</v>
      </c>
      <c r="K375" s="14">
        <v>14353.0</v>
      </c>
      <c r="L375" s="14">
        <v>11898.7</v>
      </c>
      <c r="M375" s="14">
        <v>2454.3</v>
      </c>
      <c r="N375" s="14">
        <v>2188.0</v>
      </c>
      <c r="O375" s="14">
        <f t="shared" si="2"/>
        <v>266.3</v>
      </c>
      <c r="P375" s="2" t="s">
        <v>2597</v>
      </c>
    </row>
    <row r="376" ht="22.5" customHeight="1">
      <c r="A376" s="2" t="s">
        <v>1510</v>
      </c>
      <c r="B376" s="12">
        <v>46166.0</v>
      </c>
      <c r="C376" s="13" t="str">
        <f t="shared" si="1"/>
        <v>2026-05</v>
      </c>
      <c r="D376" s="12">
        <v>46197.0</v>
      </c>
      <c r="E376" s="12">
        <v>46198.0</v>
      </c>
      <c r="F376" s="2" t="s">
        <v>221</v>
      </c>
      <c r="G376" s="2" t="str">
        <f>VLOOKUP(F376,Tabela_1[#ALL],2,0)</f>
        <v>EssenciaPura EPP</v>
      </c>
      <c r="H376" s="2" t="str">
        <f>VLOOKUP(F376,Tabela_1[#ALL],3,0)</f>
        <v>cosmetico</v>
      </c>
      <c r="I376" s="2" t="s">
        <v>49</v>
      </c>
      <c r="J376" s="2">
        <v>2.0</v>
      </c>
      <c r="K376" s="14">
        <v>12797.2</v>
      </c>
      <c r="L376" s="14">
        <v>9821.55</v>
      </c>
      <c r="M376" s="14">
        <v>2975.65</v>
      </c>
      <c r="N376" s="14">
        <v>1894.0</v>
      </c>
      <c r="O376" s="14">
        <f t="shared" si="2"/>
        <v>1081.65</v>
      </c>
      <c r="P376" s="2" t="s">
        <v>2597</v>
      </c>
    </row>
    <row r="377" ht="22.5" customHeight="1">
      <c r="A377" s="2" t="s">
        <v>1513</v>
      </c>
      <c r="B377" s="12">
        <v>46166.0</v>
      </c>
      <c r="C377" s="13" t="str">
        <f t="shared" si="1"/>
        <v>2026-05</v>
      </c>
      <c r="D377" s="12">
        <v>46190.0</v>
      </c>
      <c r="E377" s="12">
        <v>46191.0</v>
      </c>
      <c r="F377" s="2" t="s">
        <v>223</v>
      </c>
      <c r="G377" s="2" t="str">
        <f>VLOOKUP(F377,Tabela_1[#ALL],2,0)</f>
        <v>Mercosul Comércio S.A.</v>
      </c>
      <c r="H377" s="2" t="str">
        <f>VLOOKUP(F377,Tabela_1[#ALL],3,0)</f>
        <v>distribuidor</v>
      </c>
      <c r="I377" s="2" t="s">
        <v>91</v>
      </c>
      <c r="J377" s="2">
        <v>3.0</v>
      </c>
      <c r="K377" s="14">
        <v>25307.0</v>
      </c>
      <c r="L377" s="14">
        <v>21682.3</v>
      </c>
      <c r="M377" s="14">
        <v>3624.7</v>
      </c>
      <c r="N377" s="14">
        <v>345.0</v>
      </c>
      <c r="O377" s="14">
        <f t="shared" si="2"/>
        <v>3279.7</v>
      </c>
      <c r="P377" s="2" t="s">
        <v>2597</v>
      </c>
    </row>
    <row r="378" ht="22.5" customHeight="1">
      <c r="A378" s="2" t="s">
        <v>1517</v>
      </c>
      <c r="B378" s="12">
        <v>46166.0</v>
      </c>
      <c r="C378" s="13" t="str">
        <f t="shared" si="1"/>
        <v>2026-05</v>
      </c>
      <c r="D378" s="12">
        <v>46183.0</v>
      </c>
      <c r="E378" s="12">
        <v>46183.0</v>
      </c>
      <c r="F378" s="2" t="s">
        <v>239</v>
      </c>
      <c r="G378" s="2" t="str">
        <f>VLOOKUP(F378,Tabela_1[#ALL],2,0)</f>
        <v>FreteFix Comércio</v>
      </c>
      <c r="H378" s="2" t="str">
        <f>VLOOKUP(F378,Tabela_1[#ALL],3,0)</f>
        <v>logistica</v>
      </c>
      <c r="I378" s="2" t="s">
        <v>56</v>
      </c>
      <c r="J378" s="2">
        <v>2.0</v>
      </c>
      <c r="K378" s="14">
        <v>4262.8</v>
      </c>
      <c r="L378" s="14">
        <v>3575.3</v>
      </c>
      <c r="M378" s="14">
        <v>687.5</v>
      </c>
      <c r="N378" s="14">
        <v>3239.0</v>
      </c>
      <c r="O378" s="14">
        <f t="shared" si="2"/>
        <v>-2551.5</v>
      </c>
      <c r="P378" s="2" t="s">
        <v>2597</v>
      </c>
    </row>
    <row r="379" ht="22.5" customHeight="1">
      <c r="A379" s="2" t="s">
        <v>1521</v>
      </c>
      <c r="B379" s="12">
        <v>46167.0</v>
      </c>
      <c r="C379" s="13" t="str">
        <f t="shared" si="1"/>
        <v>2026-05</v>
      </c>
      <c r="D379" s="12">
        <v>46185.0</v>
      </c>
      <c r="E379" s="12">
        <v>46187.0</v>
      </c>
      <c r="F379" s="2" t="s">
        <v>66</v>
      </c>
      <c r="G379" s="2" t="str">
        <f>VLOOKUP(F379,Tabela_1[#ALL],2,0)</f>
        <v>Vale Norte Atacarejo</v>
      </c>
      <c r="H379" s="2" t="str">
        <f>VLOOKUP(F379,Tabela_1[#ALL],3,0)</f>
        <v>varejo</v>
      </c>
      <c r="I379" s="2" t="s">
        <v>22</v>
      </c>
      <c r="J379" s="2">
        <v>2.0</v>
      </c>
      <c r="K379" s="14">
        <v>45561.6</v>
      </c>
      <c r="L379" s="14">
        <v>40680.0</v>
      </c>
      <c r="M379" s="14">
        <v>4881.6</v>
      </c>
      <c r="N379" s="14">
        <v>1739.0</v>
      </c>
      <c r="O379" s="14">
        <f t="shared" si="2"/>
        <v>3142.6</v>
      </c>
      <c r="P379" s="2" t="s">
        <v>2597</v>
      </c>
    </row>
    <row r="380" ht="22.5" customHeight="1">
      <c r="A380" s="2" t="s">
        <v>1523</v>
      </c>
      <c r="B380" s="12">
        <v>46167.0</v>
      </c>
      <c r="C380" s="13" t="str">
        <f t="shared" si="1"/>
        <v>2026-05</v>
      </c>
      <c r="D380" s="12">
        <v>46200.0</v>
      </c>
      <c r="E380" s="12">
        <v>46198.0</v>
      </c>
      <c r="F380" s="2" t="s">
        <v>157</v>
      </c>
      <c r="G380" s="2" t="str">
        <f>VLOOKUP(F380,Tabela_1[#ALL],2,0)</f>
        <v>Mercosul Comércio EPP</v>
      </c>
      <c r="H380" s="2" t="str">
        <f>VLOOKUP(F380,Tabela_1[#ALL],3,0)</f>
        <v>distribuidor</v>
      </c>
      <c r="I380" s="2" t="s">
        <v>49</v>
      </c>
      <c r="J380" s="2">
        <v>2.0</v>
      </c>
      <c r="K380" s="14">
        <v>12230.4</v>
      </c>
      <c r="L380" s="14">
        <v>10920.0</v>
      </c>
      <c r="M380" s="14">
        <v>1310.4</v>
      </c>
      <c r="N380" s="14">
        <v>1807.0</v>
      </c>
      <c r="O380" s="14">
        <f t="shared" si="2"/>
        <v>-496.6</v>
      </c>
      <c r="P380" s="2" t="s">
        <v>2597</v>
      </c>
    </row>
    <row r="381" ht="22.5" customHeight="1">
      <c r="A381" s="2" t="s">
        <v>1525</v>
      </c>
      <c r="B381" s="12">
        <v>46167.0</v>
      </c>
      <c r="C381" s="13" t="str">
        <f t="shared" si="1"/>
        <v>2026-05</v>
      </c>
      <c r="D381" s="12">
        <v>46196.0</v>
      </c>
      <c r="E381" s="12">
        <v>46198.0</v>
      </c>
      <c r="F381" s="2" t="s">
        <v>171</v>
      </c>
      <c r="G381" s="2" t="str">
        <f>VLOOKUP(F381,Tabela_1[#ALL],2,0)</f>
        <v>Solene Cosméticos Ltda</v>
      </c>
      <c r="H381" s="2" t="str">
        <f>VLOOKUP(F381,Tabela_1[#ALL],3,0)</f>
        <v>cosmetico</v>
      </c>
      <c r="I381" s="2" t="s">
        <v>56</v>
      </c>
      <c r="J381" s="2">
        <v>2.0</v>
      </c>
      <c r="K381" s="14">
        <v>13858.2</v>
      </c>
      <c r="L381" s="14">
        <v>11047.3</v>
      </c>
      <c r="M381" s="14">
        <v>2810.9</v>
      </c>
      <c r="N381" s="14">
        <v>4729.0</v>
      </c>
      <c r="O381" s="14">
        <f t="shared" si="2"/>
        <v>-1918.1</v>
      </c>
      <c r="P381" s="2" t="s">
        <v>2597</v>
      </c>
    </row>
    <row r="382" ht="22.5" customHeight="1">
      <c r="A382" s="2" t="s">
        <v>1527</v>
      </c>
      <c r="B382" s="12">
        <v>46167.0</v>
      </c>
      <c r="C382" s="13" t="str">
        <f t="shared" si="1"/>
        <v>2026-05</v>
      </c>
      <c r="D382" s="12">
        <v>46190.0</v>
      </c>
      <c r="E382" s="12">
        <v>46190.0</v>
      </c>
      <c r="F382" s="2" t="s">
        <v>193</v>
      </c>
      <c r="G382" s="2" t="str">
        <f>VLOOKUP(F382,Tabela_1[#ALL],2,0)</f>
        <v>Vita Floral S.A.</v>
      </c>
      <c r="H382" s="2" t="str">
        <f>VLOOKUP(F382,Tabela_1[#ALL],3,0)</f>
        <v>cosmetico</v>
      </c>
      <c r="I382" s="2" t="s">
        <v>56</v>
      </c>
      <c r="J382" s="2">
        <v>2.0</v>
      </c>
      <c r="K382" s="14">
        <v>27852.0</v>
      </c>
      <c r="L382" s="14">
        <v>22519.5</v>
      </c>
      <c r="M382" s="14">
        <v>5332.5</v>
      </c>
      <c r="N382" s="14">
        <v>6013.0</v>
      </c>
      <c r="O382" s="14">
        <f t="shared" si="2"/>
        <v>-680.5</v>
      </c>
      <c r="P382" s="2" t="s">
        <v>2597</v>
      </c>
    </row>
    <row r="383" ht="22.5" customHeight="1">
      <c r="A383" s="2" t="s">
        <v>1532</v>
      </c>
      <c r="B383" s="12">
        <v>46167.0</v>
      </c>
      <c r="C383" s="13" t="str">
        <f t="shared" si="1"/>
        <v>2026-05</v>
      </c>
      <c r="D383" s="12">
        <v>46198.0</v>
      </c>
      <c r="E383" s="12">
        <v>46196.0</v>
      </c>
      <c r="F383" s="2" t="s">
        <v>215</v>
      </c>
      <c r="G383" s="2" t="str">
        <f>VLOOKUP(F383,Tabela_1[#ALL],2,0)</f>
        <v>Lumen Beauty EPP</v>
      </c>
      <c r="H383" s="2" t="str">
        <f>VLOOKUP(F383,Tabela_1[#ALL],3,0)</f>
        <v>cosmetico</v>
      </c>
      <c r="I383" s="2" t="s">
        <v>22</v>
      </c>
      <c r="J383" s="2">
        <v>2.0</v>
      </c>
      <c r="K383" s="14">
        <v>14139.2</v>
      </c>
      <c r="L383" s="14">
        <v>11858.8</v>
      </c>
      <c r="M383" s="14">
        <v>2280.4</v>
      </c>
      <c r="N383" s="14">
        <v>1970.0</v>
      </c>
      <c r="O383" s="14">
        <f t="shared" si="2"/>
        <v>310.4</v>
      </c>
      <c r="P383" s="2" t="s">
        <v>2597</v>
      </c>
    </row>
    <row r="384" ht="22.5" customHeight="1">
      <c r="A384" s="2" t="s">
        <v>1535</v>
      </c>
      <c r="B384" s="12">
        <v>46167.0</v>
      </c>
      <c r="C384" s="13" t="str">
        <f t="shared" si="1"/>
        <v>2026-05</v>
      </c>
      <c r="D384" s="12">
        <v>46199.0</v>
      </c>
      <c r="E384" s="12">
        <v>46207.0</v>
      </c>
      <c r="F384" s="2" t="s">
        <v>247</v>
      </c>
      <c r="G384" s="2" t="str">
        <f>VLOOKUP(F384,Tabela_1[#ALL],2,0)</f>
        <v>MedPlus Indústria Cooperativa</v>
      </c>
      <c r="H384" s="2" t="str">
        <f>VLOOKUP(F384,Tabela_1[#ALL],3,0)</f>
        <v>farmaceutico</v>
      </c>
      <c r="I384" s="2" t="s">
        <v>49</v>
      </c>
      <c r="J384" s="2">
        <v>3.0</v>
      </c>
      <c r="K384" s="14">
        <v>8955.9</v>
      </c>
      <c r="L384" s="14">
        <v>7673.4</v>
      </c>
      <c r="M384" s="14">
        <v>1282.5</v>
      </c>
      <c r="N384" s="14">
        <v>2120.0</v>
      </c>
      <c r="O384" s="14">
        <f t="shared" si="2"/>
        <v>-837.5</v>
      </c>
      <c r="P384" s="2" t="s">
        <v>2597</v>
      </c>
    </row>
    <row r="385" ht="22.5" customHeight="1">
      <c r="A385" s="2" t="s">
        <v>1539</v>
      </c>
      <c r="B385" s="12">
        <v>46168.0</v>
      </c>
      <c r="C385" s="13" t="str">
        <f t="shared" si="1"/>
        <v>2026-05</v>
      </c>
      <c r="D385" s="12">
        <v>46190.0</v>
      </c>
      <c r="E385" s="12">
        <v>46191.0</v>
      </c>
      <c r="F385" s="2" t="s">
        <v>23</v>
      </c>
      <c r="G385" s="2" t="str">
        <f>VLOOKUP(F385,Tabela_1[#ALL],2,0)</f>
        <v>Nova Era Cosméticos</v>
      </c>
      <c r="H385" s="2" t="str">
        <f>VLOOKUP(F385,Tabela_1[#ALL],3,0)</f>
        <v>cosmetico</v>
      </c>
      <c r="I385" s="2" t="s">
        <v>22</v>
      </c>
      <c r="J385" s="2">
        <v>3.0</v>
      </c>
      <c r="K385" s="14">
        <v>100157.2</v>
      </c>
      <c r="L385" s="14">
        <v>78007.05</v>
      </c>
      <c r="M385" s="14">
        <v>22150.15</v>
      </c>
      <c r="N385" s="14">
        <v>8229.0</v>
      </c>
      <c r="O385" s="14">
        <f t="shared" si="2"/>
        <v>13921.15</v>
      </c>
      <c r="P385" s="2" t="s">
        <v>2597</v>
      </c>
    </row>
    <row r="386" ht="22.5" customHeight="1">
      <c r="A386" s="2" t="s">
        <v>1543</v>
      </c>
      <c r="B386" s="12">
        <v>46168.0</v>
      </c>
      <c r="C386" s="13" t="str">
        <f t="shared" si="1"/>
        <v>2026-05</v>
      </c>
      <c r="D386" s="12">
        <v>46197.0</v>
      </c>
      <c r="F386" s="2" t="s">
        <v>31</v>
      </c>
      <c r="G386" s="2" t="str">
        <f>VLOOKUP(F386,Tabela_1[#ALL],2,0)</f>
        <v>Distribuidora Sul PR</v>
      </c>
      <c r="H386" s="2" t="str">
        <f>VLOOKUP(F386,Tabela_1[#ALL],3,0)</f>
        <v>distribuidor</v>
      </c>
      <c r="I386" s="2" t="s">
        <v>16</v>
      </c>
      <c r="J386" s="2">
        <v>2.0</v>
      </c>
      <c r="K386" s="14">
        <v>87658.2</v>
      </c>
      <c r="L386" s="14">
        <v>70961.4</v>
      </c>
      <c r="M386" s="14">
        <v>16696.8</v>
      </c>
      <c r="N386" s="14">
        <v>7994.0</v>
      </c>
      <c r="O386" s="14">
        <f t="shared" si="2"/>
        <v>8702.8</v>
      </c>
      <c r="P386" s="2" t="s">
        <v>2600</v>
      </c>
    </row>
    <row r="387" ht="22.5" customHeight="1">
      <c r="A387" s="2" t="s">
        <v>1546</v>
      </c>
      <c r="B387" s="12">
        <v>46168.0</v>
      </c>
      <c r="C387" s="13" t="str">
        <f t="shared" si="1"/>
        <v>2026-05</v>
      </c>
      <c r="D387" s="12">
        <v>46195.0</v>
      </c>
      <c r="E387" s="12">
        <v>46195.0</v>
      </c>
      <c r="F387" s="2" t="s">
        <v>61</v>
      </c>
      <c r="G387" s="2" t="str">
        <f>VLOOKUP(F387,Tabela_1[#ALL],2,0)</f>
        <v>Mercosul Atacado</v>
      </c>
      <c r="H387" s="2" t="str">
        <f>VLOOKUP(F387,Tabela_1[#ALL],3,0)</f>
        <v>distribuidor</v>
      </c>
      <c r="I387" s="2" t="s">
        <v>39</v>
      </c>
      <c r="J387" s="2">
        <v>2.0</v>
      </c>
      <c r="K387" s="14">
        <v>12129.3</v>
      </c>
      <c r="L387" s="14">
        <v>10173.3</v>
      </c>
      <c r="M387" s="14">
        <v>1956.0</v>
      </c>
      <c r="N387" s="14">
        <v>4166.0</v>
      </c>
      <c r="O387" s="14">
        <f t="shared" si="2"/>
        <v>-2210</v>
      </c>
      <c r="P387" s="2" t="s">
        <v>2597</v>
      </c>
    </row>
    <row r="388" ht="22.5" customHeight="1">
      <c r="A388" s="2" t="s">
        <v>1549</v>
      </c>
      <c r="B388" s="12">
        <v>46168.0</v>
      </c>
      <c r="C388" s="13" t="str">
        <f t="shared" si="1"/>
        <v>2026-05</v>
      </c>
      <c r="D388" s="12">
        <v>46201.0</v>
      </c>
      <c r="E388" s="12">
        <v>46198.0</v>
      </c>
      <c r="F388" s="2" t="s">
        <v>95</v>
      </c>
      <c r="G388" s="2" t="str">
        <f>VLOOKUP(F388,Tabela_1[#ALL],2,0)</f>
        <v>Mercado Vale</v>
      </c>
      <c r="H388" s="2" t="str">
        <f>VLOOKUP(F388,Tabela_1[#ALL],3,0)</f>
        <v>varejo</v>
      </c>
      <c r="I388" s="2" t="s">
        <v>56</v>
      </c>
      <c r="J388" s="2">
        <v>3.0</v>
      </c>
      <c r="K388" s="14">
        <v>13792.8</v>
      </c>
      <c r="L388" s="14">
        <v>12315.0</v>
      </c>
      <c r="M388" s="14">
        <v>1477.8</v>
      </c>
      <c r="N388" s="14">
        <v>6193.0</v>
      </c>
      <c r="O388" s="14">
        <f t="shared" si="2"/>
        <v>-4715.2</v>
      </c>
      <c r="P388" s="2" t="s">
        <v>2597</v>
      </c>
    </row>
    <row r="389" ht="22.5" customHeight="1">
      <c r="A389" s="2" t="s">
        <v>1551</v>
      </c>
      <c r="B389" s="12">
        <v>46168.0</v>
      </c>
      <c r="C389" s="13" t="str">
        <f t="shared" si="1"/>
        <v>2026-05</v>
      </c>
      <c r="D389" s="12">
        <v>46185.0</v>
      </c>
      <c r="E389" s="12">
        <v>46183.0</v>
      </c>
      <c r="F389" s="2" t="s">
        <v>193</v>
      </c>
      <c r="G389" s="2" t="str">
        <f>VLOOKUP(F389,Tabela_1[#ALL],2,0)</f>
        <v>Vita Floral S.A.</v>
      </c>
      <c r="H389" s="2" t="str">
        <f>VLOOKUP(F389,Tabela_1[#ALL],3,0)</f>
        <v>cosmetico</v>
      </c>
      <c r="I389" s="2" t="s">
        <v>56</v>
      </c>
      <c r="J389" s="2">
        <v>2.0</v>
      </c>
      <c r="K389" s="14">
        <v>27431.2</v>
      </c>
      <c r="L389" s="14">
        <v>22993.8</v>
      </c>
      <c r="M389" s="14">
        <v>4437.4</v>
      </c>
      <c r="N389" s="14">
        <v>5208.0</v>
      </c>
      <c r="O389" s="14">
        <f t="shared" si="2"/>
        <v>-770.6</v>
      </c>
      <c r="P389" s="2" t="s">
        <v>2597</v>
      </c>
    </row>
    <row r="390" ht="22.5" customHeight="1">
      <c r="A390" s="2" t="s">
        <v>1554</v>
      </c>
      <c r="B390" s="12">
        <v>46168.0</v>
      </c>
      <c r="C390" s="13" t="str">
        <f t="shared" si="1"/>
        <v>2026-05</v>
      </c>
      <c r="D390" s="12">
        <v>46193.0</v>
      </c>
      <c r="F390" s="2" t="s">
        <v>227</v>
      </c>
      <c r="G390" s="2" t="str">
        <f>VLOOKUP(F390,Tabela_1[#ALL],2,0)</f>
        <v>Granoma Alimentos Indústria</v>
      </c>
      <c r="H390" s="2" t="str">
        <f>VLOOKUP(F390,Tabela_1[#ALL],3,0)</f>
        <v>alimenticio</v>
      </c>
      <c r="I390" s="2" t="s">
        <v>56</v>
      </c>
      <c r="J390" s="2">
        <v>2.0</v>
      </c>
      <c r="K390" s="14">
        <v>14521.6</v>
      </c>
      <c r="L390" s="14">
        <v>11741.4</v>
      </c>
      <c r="M390" s="14">
        <v>2780.2</v>
      </c>
      <c r="N390" s="14">
        <v>766.0</v>
      </c>
      <c r="O390" s="14">
        <f t="shared" si="2"/>
        <v>2014.2</v>
      </c>
      <c r="P390" s="2" t="s">
        <v>2598</v>
      </c>
    </row>
    <row r="391" ht="22.5" customHeight="1">
      <c r="A391" s="2" t="s">
        <v>1557</v>
      </c>
      <c r="B391" s="12">
        <v>46168.0</v>
      </c>
      <c r="C391" s="13" t="str">
        <f t="shared" si="1"/>
        <v>2026-05</v>
      </c>
      <c r="D391" s="12">
        <v>46199.0</v>
      </c>
      <c r="E391" s="12">
        <v>46197.0</v>
      </c>
      <c r="F391" s="2" t="s">
        <v>253</v>
      </c>
      <c r="G391" s="2" t="str">
        <f>VLOOKUP(F391,Tabela_1[#ALL],2,0)</f>
        <v>Atacadão Centro Oeste S.A.</v>
      </c>
      <c r="H391" s="2" t="str">
        <f>VLOOKUP(F391,Tabela_1[#ALL],3,0)</f>
        <v>distribuidor</v>
      </c>
      <c r="I391" s="2" t="s">
        <v>22</v>
      </c>
      <c r="J391" s="2">
        <v>1.0</v>
      </c>
      <c r="K391" s="14">
        <v>4729.2</v>
      </c>
      <c r="L391" s="14">
        <v>3828.4</v>
      </c>
      <c r="M391" s="14">
        <v>900.8</v>
      </c>
      <c r="N391" s="14">
        <v>1765.0</v>
      </c>
      <c r="O391" s="14">
        <f t="shared" si="2"/>
        <v>-864.2</v>
      </c>
      <c r="P391" s="2" t="s">
        <v>2597</v>
      </c>
    </row>
    <row r="392" ht="22.5" customHeight="1">
      <c r="A392" s="2" t="s">
        <v>1558</v>
      </c>
      <c r="B392" s="12">
        <v>46169.0</v>
      </c>
      <c r="C392" s="13" t="str">
        <f t="shared" si="1"/>
        <v>2026-05</v>
      </c>
      <c r="D392" s="12">
        <v>46192.0</v>
      </c>
      <c r="E392" s="12">
        <v>46192.0</v>
      </c>
      <c r="F392" s="2" t="s">
        <v>57</v>
      </c>
      <c r="G392" s="2" t="str">
        <f>VLOOKUP(F392,Tabela_1[#ALL],2,0)</f>
        <v>Distribuidora Oeste</v>
      </c>
      <c r="H392" s="2" t="str">
        <f>VLOOKUP(F392,Tabela_1[#ALL],3,0)</f>
        <v>distribuidor</v>
      </c>
      <c r="I392" s="2" t="s">
        <v>39</v>
      </c>
      <c r="J392" s="2">
        <v>1.0</v>
      </c>
      <c r="K392" s="14">
        <v>129648.4</v>
      </c>
      <c r="L392" s="14">
        <v>115757.5</v>
      </c>
      <c r="M392" s="14">
        <v>13890.9</v>
      </c>
      <c r="N392" s="14">
        <v>157.0</v>
      </c>
      <c r="O392" s="14">
        <f t="shared" si="2"/>
        <v>13733.9</v>
      </c>
      <c r="P392" s="2" t="s">
        <v>2597</v>
      </c>
    </row>
    <row r="393" ht="22.5" customHeight="1">
      <c r="A393" s="2" t="s">
        <v>1562</v>
      </c>
      <c r="B393" s="12">
        <v>46169.0</v>
      </c>
      <c r="C393" s="13" t="str">
        <f t="shared" si="1"/>
        <v>2026-05</v>
      </c>
      <c r="D393" s="12">
        <v>46185.0</v>
      </c>
      <c r="E393" s="12">
        <v>46186.0</v>
      </c>
      <c r="F393" s="2" t="s">
        <v>98</v>
      </c>
      <c r="G393" s="2" t="str">
        <f>VLOOKUP(F393,Tabela_1[#ALL],2,0)</f>
        <v>Atacarejo Maringá</v>
      </c>
      <c r="H393" s="2" t="str">
        <f>VLOOKUP(F393,Tabela_1[#ALL],3,0)</f>
        <v>distribuidor</v>
      </c>
      <c r="I393" s="2" t="s">
        <v>43</v>
      </c>
      <c r="J393" s="2">
        <v>1.0</v>
      </c>
      <c r="K393" s="14">
        <v>14103.2</v>
      </c>
      <c r="L393" s="14">
        <v>10577.4</v>
      </c>
      <c r="M393" s="14">
        <v>3525.8</v>
      </c>
      <c r="N393" s="14">
        <v>3548.0</v>
      </c>
      <c r="O393" s="14">
        <f t="shared" si="2"/>
        <v>-22.2</v>
      </c>
      <c r="P393" s="2" t="s">
        <v>2597</v>
      </c>
    </row>
    <row r="394" ht="22.5" customHeight="1">
      <c r="A394" s="2" t="s">
        <v>1565</v>
      </c>
      <c r="B394" s="12">
        <v>46169.0</v>
      </c>
      <c r="C394" s="13" t="str">
        <f t="shared" si="1"/>
        <v>2026-05</v>
      </c>
      <c r="D394" s="12">
        <v>46200.0</v>
      </c>
      <c r="E394" s="12">
        <v>46197.0</v>
      </c>
      <c r="F394" s="2" t="s">
        <v>98</v>
      </c>
      <c r="G394" s="2" t="str">
        <f>VLOOKUP(F394,Tabela_1[#ALL],2,0)</f>
        <v>Atacarejo Maringá</v>
      </c>
      <c r="H394" s="2" t="str">
        <f>VLOOKUP(F394,Tabela_1[#ALL],3,0)</f>
        <v>distribuidor</v>
      </c>
      <c r="I394" s="2" t="s">
        <v>43</v>
      </c>
      <c r="J394" s="2">
        <v>3.0</v>
      </c>
      <c r="K394" s="14">
        <v>11381.2</v>
      </c>
      <c r="L394" s="14">
        <v>9089.55</v>
      </c>
      <c r="M394" s="14">
        <v>2291.65</v>
      </c>
      <c r="N394" s="14">
        <v>3608.0</v>
      </c>
      <c r="O394" s="14">
        <f t="shared" si="2"/>
        <v>-1316.35</v>
      </c>
      <c r="P394" s="2" t="s">
        <v>2597</v>
      </c>
    </row>
    <row r="395" ht="22.5" customHeight="1">
      <c r="A395" s="2" t="s">
        <v>1570</v>
      </c>
      <c r="B395" s="12">
        <v>46169.0</v>
      </c>
      <c r="C395" s="13" t="str">
        <f t="shared" si="1"/>
        <v>2026-05</v>
      </c>
      <c r="D395" s="12">
        <v>46188.0</v>
      </c>
      <c r="E395" s="12">
        <v>46189.0</v>
      </c>
      <c r="F395" s="2" t="s">
        <v>179</v>
      </c>
      <c r="G395" s="2" t="str">
        <f>VLOOKUP(F395,Tabela_1[#ALL],2,0)</f>
        <v>Mercosul Comércio EPP (Joinville)</v>
      </c>
      <c r="H395" s="2" t="str">
        <f>VLOOKUP(F395,Tabela_1[#ALL],3,0)</f>
        <v>distribuidor</v>
      </c>
      <c r="I395" s="2" t="s">
        <v>39</v>
      </c>
      <c r="J395" s="2">
        <v>1.0</v>
      </c>
      <c r="K395" s="14">
        <v>9931.6</v>
      </c>
      <c r="L395" s="14">
        <v>8867.5</v>
      </c>
      <c r="M395" s="14">
        <v>1064.1</v>
      </c>
      <c r="N395" s="14">
        <v>3411.0</v>
      </c>
      <c r="O395" s="14">
        <f t="shared" si="2"/>
        <v>-2346.9</v>
      </c>
      <c r="P395" s="2" t="s">
        <v>2597</v>
      </c>
    </row>
    <row r="396" ht="22.5" customHeight="1">
      <c r="A396" s="2" t="s">
        <v>1572</v>
      </c>
      <c r="B396" s="12">
        <v>46169.0</v>
      </c>
      <c r="C396" s="13" t="str">
        <f t="shared" si="1"/>
        <v>2026-05</v>
      </c>
      <c r="D396" s="12">
        <v>46198.0</v>
      </c>
      <c r="F396" s="2" t="s">
        <v>197</v>
      </c>
      <c r="G396" s="2" t="str">
        <f>VLOOKUP(F396,Tabela_1[#ALL],2,0)</f>
        <v>Sabor Forte Alimentos Indústria</v>
      </c>
      <c r="H396" s="2" t="str">
        <f>VLOOKUP(F396,Tabela_1[#ALL],3,0)</f>
        <v>alimenticio</v>
      </c>
      <c r="I396" s="2" t="s">
        <v>49</v>
      </c>
      <c r="J396" s="2">
        <v>2.0</v>
      </c>
      <c r="K396" s="14">
        <v>17343.2</v>
      </c>
      <c r="L396" s="14">
        <v>15485.0</v>
      </c>
      <c r="M396" s="14">
        <v>1858.2</v>
      </c>
      <c r="N396" s="14">
        <v>2329.0</v>
      </c>
      <c r="O396" s="14">
        <f t="shared" si="2"/>
        <v>-470.8</v>
      </c>
      <c r="P396" s="2" t="s">
        <v>2600</v>
      </c>
    </row>
    <row r="397" ht="22.5" customHeight="1">
      <c r="A397" s="2" t="s">
        <v>1574</v>
      </c>
      <c r="B397" s="12">
        <v>46169.0</v>
      </c>
      <c r="C397" s="13" t="str">
        <f t="shared" si="1"/>
        <v>2026-05</v>
      </c>
      <c r="D397" s="12">
        <v>46194.0</v>
      </c>
      <c r="E397" s="12">
        <v>46200.0</v>
      </c>
      <c r="F397" s="2" t="s">
        <v>205</v>
      </c>
      <c r="G397" s="2" t="str">
        <f>VLOOKUP(F397,Tabela_1[#ALL],2,0)</f>
        <v>Farmalivre Indústria</v>
      </c>
      <c r="H397" s="2" t="str">
        <f>VLOOKUP(F397,Tabela_1[#ALL],3,0)</f>
        <v>farmaceutico</v>
      </c>
      <c r="I397" s="2" t="s">
        <v>91</v>
      </c>
      <c r="J397" s="2">
        <v>1.0</v>
      </c>
      <c r="K397" s="14">
        <v>6130.8</v>
      </c>
      <c r="L397" s="14">
        <v>4774.95</v>
      </c>
      <c r="M397" s="14">
        <v>1355.85</v>
      </c>
      <c r="N397" s="14">
        <v>1195.0</v>
      </c>
      <c r="O397" s="14">
        <f t="shared" si="2"/>
        <v>160.85</v>
      </c>
      <c r="P397" s="2" t="s">
        <v>2597</v>
      </c>
    </row>
    <row r="398" ht="22.5" customHeight="1">
      <c r="A398" s="2" t="s">
        <v>1577</v>
      </c>
      <c r="B398" s="12">
        <v>46169.0</v>
      </c>
      <c r="C398" s="13" t="str">
        <f t="shared" si="1"/>
        <v>2026-05</v>
      </c>
      <c r="D398" s="12">
        <v>46203.0</v>
      </c>
      <c r="E398" s="12">
        <v>46200.0</v>
      </c>
      <c r="F398" s="2" t="s">
        <v>243</v>
      </c>
      <c r="G398" s="2" t="str">
        <f>VLOOKUP(F398,Tabela_1[#ALL],2,0)</f>
        <v>RotaFácil Comércio</v>
      </c>
      <c r="H398" s="2" t="str">
        <f>VLOOKUP(F398,Tabela_1[#ALL],3,0)</f>
        <v>ecommerce</v>
      </c>
      <c r="I398" s="2" t="s">
        <v>22</v>
      </c>
      <c r="J398" s="2">
        <v>3.0</v>
      </c>
      <c r="K398" s="14">
        <v>6632.6</v>
      </c>
      <c r="L398" s="14">
        <v>5498.3</v>
      </c>
      <c r="M398" s="14">
        <v>1134.3</v>
      </c>
      <c r="N398" s="14">
        <v>722.0</v>
      </c>
      <c r="O398" s="14">
        <f t="shared" si="2"/>
        <v>412.3</v>
      </c>
      <c r="P398" s="2" t="s">
        <v>2597</v>
      </c>
    </row>
    <row r="399" ht="22.5" customHeight="1">
      <c r="A399" s="2" t="s">
        <v>1581</v>
      </c>
      <c r="B399" s="12">
        <v>46169.0</v>
      </c>
      <c r="C399" s="13" t="str">
        <f t="shared" si="1"/>
        <v>2026-05</v>
      </c>
      <c r="D399" s="12">
        <v>46196.0</v>
      </c>
      <c r="E399" s="12">
        <v>46194.0</v>
      </c>
      <c r="F399" s="2" t="s">
        <v>249</v>
      </c>
      <c r="G399" s="2" t="str">
        <f>VLOOKUP(F399,Tabela_1[#ALL],2,0)</f>
        <v>Distrib. Litoral Sul EPP</v>
      </c>
      <c r="H399" s="2" t="str">
        <f>VLOOKUP(F399,Tabela_1[#ALL],3,0)</f>
        <v>distribuidor</v>
      </c>
      <c r="I399" s="2" t="s">
        <v>91</v>
      </c>
      <c r="J399" s="2">
        <v>1.0</v>
      </c>
      <c r="K399" s="14">
        <v>26045.6</v>
      </c>
      <c r="L399" s="14">
        <v>23255.0</v>
      </c>
      <c r="M399" s="14">
        <v>2790.6</v>
      </c>
      <c r="N399" s="14">
        <v>2615.0</v>
      </c>
      <c r="O399" s="14">
        <f t="shared" si="2"/>
        <v>175.6</v>
      </c>
      <c r="P399" s="2" t="s">
        <v>2597</v>
      </c>
    </row>
    <row r="400" ht="22.5" customHeight="1">
      <c r="A400" s="2" t="s">
        <v>1583</v>
      </c>
      <c r="B400" s="12">
        <v>46170.0</v>
      </c>
      <c r="C400" s="13" t="str">
        <f t="shared" si="1"/>
        <v>2026-05</v>
      </c>
      <c r="D400" s="12">
        <v>46186.0</v>
      </c>
      <c r="E400" s="12">
        <v>46188.0</v>
      </c>
      <c r="F400" s="2" t="s">
        <v>10</v>
      </c>
      <c r="G400" s="2" t="str">
        <f>VLOOKUP(F400,Tabela_1[#ALL],2,0)</f>
        <v>AgroMar</v>
      </c>
      <c r="H400" s="2" t="str">
        <f>VLOOKUP(F400,Tabela_1[#ALL],3,0)</f>
        <v>alimenticio</v>
      </c>
      <c r="I400" s="2" t="s">
        <v>16</v>
      </c>
      <c r="J400" s="2">
        <v>2.0</v>
      </c>
      <c r="K400" s="14">
        <v>181990.6</v>
      </c>
      <c r="L400" s="14">
        <v>135843.0</v>
      </c>
      <c r="M400" s="14">
        <v>46147.6</v>
      </c>
      <c r="N400" s="14">
        <v>9436.0</v>
      </c>
      <c r="O400" s="14">
        <f t="shared" si="2"/>
        <v>36711.6</v>
      </c>
      <c r="P400" s="2" t="s">
        <v>2597</v>
      </c>
    </row>
    <row r="401" ht="22.5" customHeight="1">
      <c r="A401" s="2" t="s">
        <v>1589</v>
      </c>
      <c r="B401" s="12">
        <v>46170.0</v>
      </c>
      <c r="C401" s="13" t="str">
        <f t="shared" si="1"/>
        <v>2026-05</v>
      </c>
      <c r="D401" s="12">
        <v>46204.0</v>
      </c>
      <c r="E401" s="12">
        <v>46203.0</v>
      </c>
      <c r="F401" s="2" t="s">
        <v>106</v>
      </c>
      <c r="G401" s="2" t="str">
        <f>VLOOKUP(F401,Tabela_1[#ALL],2,0)</f>
        <v>DistribuPlus</v>
      </c>
      <c r="H401" s="2" t="str">
        <f>VLOOKUP(F401,Tabela_1[#ALL],3,0)</f>
        <v>distribuidor</v>
      </c>
      <c r="I401" s="2" t="s">
        <v>22</v>
      </c>
      <c r="J401" s="2">
        <v>1.0</v>
      </c>
      <c r="K401" s="14">
        <v>2678.0</v>
      </c>
      <c r="L401" s="14">
        <v>2101.2</v>
      </c>
      <c r="M401" s="14">
        <v>576.8</v>
      </c>
      <c r="N401" s="14">
        <v>2534.0</v>
      </c>
      <c r="O401" s="14">
        <f t="shared" si="2"/>
        <v>-1957.2</v>
      </c>
      <c r="P401" s="2" t="s">
        <v>2597</v>
      </c>
    </row>
    <row r="402" ht="22.5" customHeight="1">
      <c r="A402" s="2" t="s">
        <v>1591</v>
      </c>
      <c r="B402" s="12">
        <v>46170.0</v>
      </c>
      <c r="C402" s="13" t="str">
        <f t="shared" si="1"/>
        <v>2026-05</v>
      </c>
      <c r="D402" s="12">
        <v>46186.0</v>
      </c>
      <c r="E402" s="12">
        <v>46185.0</v>
      </c>
      <c r="F402" s="2" t="s">
        <v>155</v>
      </c>
      <c r="G402" s="2" t="str">
        <f>VLOOKUP(F402,Tabela_1[#ALL],2,0)</f>
        <v>Nutrigrão ME</v>
      </c>
      <c r="H402" s="2" t="str">
        <f>VLOOKUP(F402,Tabela_1[#ALL],3,0)</f>
        <v>alimenticio</v>
      </c>
      <c r="I402" s="2" t="s">
        <v>39</v>
      </c>
      <c r="J402" s="2">
        <v>3.0</v>
      </c>
      <c r="K402" s="14">
        <v>14935.8</v>
      </c>
      <c r="L402" s="14">
        <v>12796.6</v>
      </c>
      <c r="M402" s="14">
        <v>2139.2</v>
      </c>
      <c r="N402" s="14">
        <v>348.0</v>
      </c>
      <c r="O402" s="14">
        <f t="shared" si="2"/>
        <v>1791.2</v>
      </c>
      <c r="P402" s="2" t="s">
        <v>2597</v>
      </c>
    </row>
    <row r="403" ht="22.5" customHeight="1">
      <c r="A403" s="2" t="s">
        <v>1593</v>
      </c>
      <c r="B403" s="12">
        <v>46170.0</v>
      </c>
      <c r="C403" s="13" t="str">
        <f t="shared" si="1"/>
        <v>2026-05</v>
      </c>
      <c r="D403" s="12">
        <v>46195.0</v>
      </c>
      <c r="E403" s="12">
        <v>46195.0</v>
      </c>
      <c r="F403" s="2" t="s">
        <v>191</v>
      </c>
      <c r="G403" s="2" t="str">
        <f>VLOOKUP(F403,Tabela_1[#ALL],2,0)</f>
        <v>Solene Cosméticos Ltda (São Paulo)</v>
      </c>
      <c r="H403" s="2" t="str">
        <f>VLOOKUP(F403,Tabela_1[#ALL],3,0)</f>
        <v>cosmetico</v>
      </c>
      <c r="I403" s="2" t="s">
        <v>49</v>
      </c>
      <c r="J403" s="2">
        <v>1.0</v>
      </c>
      <c r="K403" s="14">
        <v>23814.0</v>
      </c>
      <c r="L403" s="14">
        <v>21262.5</v>
      </c>
      <c r="M403" s="14">
        <v>2551.5</v>
      </c>
      <c r="N403" s="14">
        <v>5576.0</v>
      </c>
      <c r="O403" s="14">
        <f t="shared" si="2"/>
        <v>-3024.5</v>
      </c>
      <c r="P403" s="2" t="s">
        <v>2597</v>
      </c>
    </row>
    <row r="404" ht="22.5" customHeight="1">
      <c r="A404" s="2" t="s">
        <v>1595</v>
      </c>
      <c r="B404" s="12">
        <v>46170.0</v>
      </c>
      <c r="C404" s="13" t="str">
        <f t="shared" si="1"/>
        <v>2026-05</v>
      </c>
      <c r="D404" s="12">
        <v>46201.0</v>
      </c>
      <c r="E404" s="12">
        <v>46199.0</v>
      </c>
      <c r="F404" s="2" t="s">
        <v>201</v>
      </c>
      <c r="G404" s="2" t="str">
        <f>VLOOKUP(F404,Tabela_1[#ALL],2,0)</f>
        <v>PackExpress Ltda</v>
      </c>
      <c r="H404" s="2" t="str">
        <f>VLOOKUP(F404,Tabela_1[#ALL],3,0)</f>
        <v>ecommerce</v>
      </c>
      <c r="I404" s="2" t="s">
        <v>56</v>
      </c>
      <c r="J404" s="2">
        <v>3.0</v>
      </c>
      <c r="K404" s="14">
        <v>24987.9</v>
      </c>
      <c r="L404" s="14">
        <v>19276.5</v>
      </c>
      <c r="M404" s="14">
        <v>5711.4</v>
      </c>
      <c r="N404" s="14">
        <v>1051.0</v>
      </c>
      <c r="O404" s="14">
        <f t="shared" si="2"/>
        <v>4660.4</v>
      </c>
      <c r="P404" s="2" t="s">
        <v>2597</v>
      </c>
    </row>
    <row r="405" ht="22.5" customHeight="1">
      <c r="A405" s="2" t="s">
        <v>1598</v>
      </c>
      <c r="B405" s="12">
        <v>46170.0</v>
      </c>
      <c r="C405" s="13" t="str">
        <f t="shared" si="1"/>
        <v>2026-05</v>
      </c>
      <c r="D405" s="12">
        <v>46201.0</v>
      </c>
      <c r="E405" s="12">
        <v>46201.0</v>
      </c>
      <c r="F405" s="2" t="s">
        <v>209</v>
      </c>
      <c r="G405" s="2" t="str">
        <f>VLOOKUP(F405,Tabela_1[#ALL],2,0)</f>
        <v>Ciência da Vida Farma ME</v>
      </c>
      <c r="H405" s="2" t="str">
        <f>VLOOKUP(F405,Tabela_1[#ALL],3,0)</f>
        <v>farmaceutico</v>
      </c>
      <c r="I405" s="2" t="s">
        <v>49</v>
      </c>
      <c r="J405" s="2">
        <v>1.0</v>
      </c>
      <c r="K405" s="14">
        <v>6994.0</v>
      </c>
      <c r="L405" s="14">
        <v>5447.25</v>
      </c>
      <c r="M405" s="14">
        <v>1546.75</v>
      </c>
      <c r="N405" s="14">
        <v>2916.0</v>
      </c>
      <c r="O405" s="14">
        <f t="shared" si="2"/>
        <v>-1369.25</v>
      </c>
      <c r="P405" s="2" t="s">
        <v>2597</v>
      </c>
    </row>
    <row r="406" ht="22.5" customHeight="1">
      <c r="A406" s="2" t="s">
        <v>1601</v>
      </c>
      <c r="B406" s="12">
        <v>46171.0</v>
      </c>
      <c r="C406" s="13" t="str">
        <f t="shared" si="1"/>
        <v>2026-05</v>
      </c>
      <c r="D406" s="12">
        <v>46189.0</v>
      </c>
      <c r="E406" s="12">
        <v>46189.0</v>
      </c>
      <c r="F406" s="2" t="s">
        <v>159</v>
      </c>
      <c r="G406" s="2" t="str">
        <f>VLOOKUP(F406,Tabela_1[#ALL],2,0)</f>
        <v>Biolatina Indústria EPP</v>
      </c>
      <c r="H406" s="2" t="str">
        <f>VLOOKUP(F406,Tabela_1[#ALL],3,0)</f>
        <v>farmaceutico</v>
      </c>
      <c r="I406" s="2" t="s">
        <v>39</v>
      </c>
      <c r="J406" s="2">
        <v>2.0</v>
      </c>
      <c r="K406" s="14">
        <v>15691.2</v>
      </c>
      <c r="L406" s="14">
        <v>14010.0</v>
      </c>
      <c r="M406" s="14">
        <v>1681.2</v>
      </c>
      <c r="N406" s="14">
        <v>583.0</v>
      </c>
      <c r="O406" s="14">
        <f t="shared" si="2"/>
        <v>1098.2</v>
      </c>
      <c r="P406" s="2" t="s">
        <v>2597</v>
      </c>
    </row>
    <row r="407" ht="22.5" customHeight="1">
      <c r="A407" s="2" t="s">
        <v>1603</v>
      </c>
      <c r="B407" s="12">
        <v>46171.0</v>
      </c>
      <c r="C407" s="13" t="str">
        <f t="shared" si="1"/>
        <v>2026-05</v>
      </c>
      <c r="D407" s="12">
        <v>46196.0</v>
      </c>
      <c r="F407" s="2" t="s">
        <v>207</v>
      </c>
      <c r="G407" s="2" t="str">
        <f>VLOOKUP(F407,Tabela_1[#ALL],2,0)</f>
        <v>Granoma Alimentos Cooperativa</v>
      </c>
      <c r="H407" s="2" t="str">
        <f>VLOOKUP(F407,Tabela_1[#ALL],3,0)</f>
        <v>alimenticio</v>
      </c>
      <c r="I407" s="2" t="s">
        <v>39</v>
      </c>
      <c r="J407" s="2">
        <v>2.0</v>
      </c>
      <c r="K407" s="14">
        <v>17721.2</v>
      </c>
      <c r="L407" s="14">
        <v>14328.3</v>
      </c>
      <c r="M407" s="14">
        <v>3392.9</v>
      </c>
      <c r="N407" s="14">
        <v>4890.0</v>
      </c>
      <c r="O407" s="14">
        <f t="shared" si="2"/>
        <v>-1497.1</v>
      </c>
      <c r="P407" s="2" t="s">
        <v>2598</v>
      </c>
    </row>
    <row r="408" ht="22.5" customHeight="1">
      <c r="A408" s="2" t="s">
        <v>1605</v>
      </c>
      <c r="B408" s="12">
        <v>46172.0</v>
      </c>
      <c r="C408" s="13" t="str">
        <f t="shared" si="1"/>
        <v>2026-05</v>
      </c>
      <c r="D408" s="12">
        <v>46206.0</v>
      </c>
      <c r="E408" s="12">
        <v>46206.0</v>
      </c>
      <c r="F408" s="2" t="s">
        <v>111</v>
      </c>
      <c r="G408" s="2" t="str">
        <f>VLOOKUP(F408,Tabela_1[#ALL],2,0)</f>
        <v>Salutar Farma Comércio</v>
      </c>
      <c r="H408" s="2" t="str">
        <f>VLOOKUP(F408,Tabela_1[#ALL],3,0)</f>
        <v>farmaceutico</v>
      </c>
      <c r="I408" s="2" t="s">
        <v>43</v>
      </c>
      <c r="J408" s="2">
        <v>3.0</v>
      </c>
      <c r="K408" s="14">
        <v>4494.2</v>
      </c>
      <c r="L408" s="14">
        <v>3555.0</v>
      </c>
      <c r="M408" s="14">
        <v>939.2</v>
      </c>
      <c r="N408" s="14">
        <v>2407.0</v>
      </c>
      <c r="O408" s="14">
        <f t="shared" si="2"/>
        <v>-1467.8</v>
      </c>
      <c r="P408" s="2" t="s">
        <v>2597</v>
      </c>
    </row>
    <row r="409" ht="22.5" customHeight="1">
      <c r="A409" s="2" t="s">
        <v>1611</v>
      </c>
      <c r="B409" s="12">
        <v>46172.0</v>
      </c>
      <c r="C409" s="13" t="str">
        <f t="shared" si="1"/>
        <v>2026-05</v>
      </c>
      <c r="D409" s="12">
        <v>46201.0</v>
      </c>
      <c r="E409" s="12">
        <v>46199.0</v>
      </c>
      <c r="F409" s="2" t="s">
        <v>185</v>
      </c>
      <c r="G409" s="2" t="str">
        <f>VLOOKUP(F409,Tabela_1[#ALL],2,0)</f>
        <v>Floratta Cosméticos S.A.</v>
      </c>
      <c r="H409" s="2" t="str">
        <f>VLOOKUP(F409,Tabela_1[#ALL],3,0)</f>
        <v>cosmetico</v>
      </c>
      <c r="I409" s="2" t="s">
        <v>22</v>
      </c>
      <c r="J409" s="2">
        <v>3.0</v>
      </c>
      <c r="K409" s="14">
        <v>7695.8</v>
      </c>
      <c r="L409" s="14">
        <v>6657.4</v>
      </c>
      <c r="M409" s="14">
        <v>1038.4</v>
      </c>
      <c r="N409" s="14">
        <v>3312.0</v>
      </c>
      <c r="O409" s="14">
        <f t="shared" si="2"/>
        <v>-2273.6</v>
      </c>
      <c r="P409" s="2" t="s">
        <v>2597</v>
      </c>
    </row>
    <row r="410" ht="22.5" customHeight="1">
      <c r="A410" s="2" t="s">
        <v>1614</v>
      </c>
      <c r="B410" s="12">
        <v>46172.0</v>
      </c>
      <c r="C410" s="13" t="str">
        <f t="shared" si="1"/>
        <v>2026-05</v>
      </c>
      <c r="D410" s="12">
        <v>46188.0</v>
      </c>
      <c r="E410" s="12">
        <v>46188.0</v>
      </c>
      <c r="F410" s="2" t="s">
        <v>203</v>
      </c>
      <c r="G410" s="2" t="str">
        <f>VLOOKUP(F410,Tabela_1[#ALL],2,0)</f>
        <v>BeautyLab S.A.</v>
      </c>
      <c r="H410" s="2" t="str">
        <f>VLOOKUP(F410,Tabela_1[#ALL],3,0)</f>
        <v>cosmetico</v>
      </c>
      <c r="I410" s="2" t="s">
        <v>22</v>
      </c>
      <c r="J410" s="2">
        <v>3.0</v>
      </c>
      <c r="K410" s="14">
        <v>6041.8</v>
      </c>
      <c r="L410" s="14">
        <v>5064.45</v>
      </c>
      <c r="M410" s="14">
        <v>977.35</v>
      </c>
      <c r="N410" s="14">
        <v>4083.0</v>
      </c>
      <c r="O410" s="14">
        <f t="shared" si="2"/>
        <v>-3105.65</v>
      </c>
      <c r="P410" s="2" t="s">
        <v>2597</v>
      </c>
    </row>
    <row r="411" ht="22.5" customHeight="1">
      <c r="A411" s="2" t="s">
        <v>1619</v>
      </c>
      <c r="B411" s="12">
        <v>46172.0</v>
      </c>
      <c r="C411" s="13" t="str">
        <f t="shared" si="1"/>
        <v>2026-05</v>
      </c>
      <c r="D411" s="12">
        <v>46207.0</v>
      </c>
      <c r="E411" s="12">
        <v>46206.0</v>
      </c>
      <c r="F411" s="2" t="s">
        <v>211</v>
      </c>
      <c r="G411" s="2" t="str">
        <f>VLOOKUP(F411,Tabela_1[#ALL],2,0)</f>
        <v>PackExpress S.A.</v>
      </c>
      <c r="H411" s="2" t="str">
        <f>VLOOKUP(F411,Tabela_1[#ALL],3,0)</f>
        <v>ecommerce</v>
      </c>
      <c r="I411" s="2" t="s">
        <v>91</v>
      </c>
      <c r="J411" s="2">
        <v>2.0</v>
      </c>
      <c r="K411" s="14">
        <v>6465.2</v>
      </c>
      <c r="L411" s="14">
        <v>5772.5</v>
      </c>
      <c r="M411" s="14">
        <v>692.7</v>
      </c>
      <c r="N411" s="14">
        <v>733.0</v>
      </c>
      <c r="O411" s="14">
        <f t="shared" si="2"/>
        <v>-40.3</v>
      </c>
      <c r="P411" s="2" t="s">
        <v>2597</v>
      </c>
    </row>
    <row r="412" ht="22.5" customHeight="1">
      <c r="A412" s="2" t="s">
        <v>1622</v>
      </c>
      <c r="B412" s="12">
        <v>46172.0</v>
      </c>
      <c r="C412" s="13" t="str">
        <f t="shared" si="1"/>
        <v>2026-05</v>
      </c>
      <c r="D412" s="12">
        <v>46192.0</v>
      </c>
      <c r="E412" s="12">
        <v>46206.0</v>
      </c>
      <c r="F412" s="2" t="s">
        <v>241</v>
      </c>
      <c r="G412" s="2" t="str">
        <f>VLOOKUP(F412,Tabela_1[#ALL],2,0)</f>
        <v>EssenciaPura EPP (Cascavel)</v>
      </c>
      <c r="H412" s="2" t="str">
        <f>VLOOKUP(F412,Tabela_1[#ALL],3,0)</f>
        <v>cosmetico</v>
      </c>
      <c r="I412" s="2" t="s">
        <v>39</v>
      </c>
      <c r="J412" s="2">
        <v>3.0</v>
      </c>
      <c r="K412" s="14">
        <v>10253.6</v>
      </c>
      <c r="L412" s="14">
        <v>9155.0</v>
      </c>
      <c r="M412" s="14">
        <v>1098.6</v>
      </c>
      <c r="N412" s="14">
        <v>427.0</v>
      </c>
      <c r="O412" s="14">
        <f t="shared" si="2"/>
        <v>671.6</v>
      </c>
      <c r="P412" s="2" t="s">
        <v>2599</v>
      </c>
    </row>
    <row r="413" ht="22.5" customHeight="1">
      <c r="A413" s="2" t="s">
        <v>1624</v>
      </c>
      <c r="B413" s="12">
        <v>46173.0</v>
      </c>
      <c r="C413" s="13" t="str">
        <f t="shared" si="1"/>
        <v>2026-05</v>
      </c>
      <c r="D413" s="12">
        <v>46190.0</v>
      </c>
      <c r="E413" s="12">
        <v>46188.0</v>
      </c>
      <c r="F413" s="2" t="s">
        <v>40</v>
      </c>
      <c r="G413" s="2" t="str">
        <f>VLOOKUP(F413,Tabela_1[#ALL],2,0)</f>
        <v>Farmavida</v>
      </c>
      <c r="H413" s="2" t="str">
        <f>VLOOKUP(F413,Tabela_1[#ALL],3,0)</f>
        <v>farmaceutico</v>
      </c>
      <c r="I413" s="2" t="s">
        <v>43</v>
      </c>
      <c r="J413" s="2">
        <v>1.0</v>
      </c>
      <c r="K413" s="14">
        <v>124918.8</v>
      </c>
      <c r="L413" s="14">
        <v>94450.8</v>
      </c>
      <c r="M413" s="14">
        <v>30468.0</v>
      </c>
      <c r="N413" s="14">
        <v>9028.0</v>
      </c>
      <c r="O413" s="14">
        <f t="shared" si="2"/>
        <v>21440</v>
      </c>
      <c r="P413" s="2" t="s">
        <v>2597</v>
      </c>
    </row>
    <row r="414" ht="22.5" customHeight="1">
      <c r="A414" s="2" t="s">
        <v>1627</v>
      </c>
      <c r="B414" s="12">
        <v>46173.0</v>
      </c>
      <c r="C414" s="13" t="str">
        <f t="shared" si="1"/>
        <v>2026-05</v>
      </c>
      <c r="D414" s="12">
        <v>46194.0</v>
      </c>
      <c r="E414" s="12">
        <v>46193.0</v>
      </c>
      <c r="F414" s="2" t="s">
        <v>126</v>
      </c>
      <c r="G414" s="2" t="str">
        <f>VLOOKUP(F414,Tabela_1[#ALL],2,0)</f>
        <v>Biolatina Indústria Cooperativa</v>
      </c>
      <c r="H414" s="2" t="str">
        <f>VLOOKUP(F414,Tabela_1[#ALL],3,0)</f>
        <v>farmaceutico</v>
      </c>
      <c r="I414" s="2" t="s">
        <v>43</v>
      </c>
      <c r="J414" s="2">
        <v>3.0</v>
      </c>
      <c r="K414" s="14">
        <v>40455.8</v>
      </c>
      <c r="L414" s="14">
        <v>33110.7</v>
      </c>
      <c r="M414" s="14">
        <v>7345.1</v>
      </c>
      <c r="N414" s="14">
        <v>4902.0</v>
      </c>
      <c r="O414" s="14">
        <f t="shared" si="2"/>
        <v>2443.1</v>
      </c>
      <c r="P414" s="2" t="s">
        <v>2597</v>
      </c>
    </row>
    <row r="415" ht="22.5" customHeight="1">
      <c r="A415" s="2" t="s">
        <v>1636</v>
      </c>
      <c r="B415" s="12">
        <v>46173.0</v>
      </c>
      <c r="C415" s="13" t="str">
        <f t="shared" si="1"/>
        <v>2026-05</v>
      </c>
      <c r="D415" s="12">
        <v>46190.0</v>
      </c>
      <c r="E415" s="12">
        <v>46189.0</v>
      </c>
      <c r="F415" s="2" t="s">
        <v>138</v>
      </c>
      <c r="G415" s="2" t="str">
        <f>VLOOKUP(F415,Tabela_1[#ALL],2,0)</f>
        <v>Mercatto ME</v>
      </c>
      <c r="H415" s="2" t="str">
        <f>VLOOKUP(F415,Tabela_1[#ALL],3,0)</f>
        <v>varejo</v>
      </c>
      <c r="I415" s="2" t="s">
        <v>39</v>
      </c>
      <c r="J415" s="2">
        <v>1.0</v>
      </c>
      <c r="K415" s="14">
        <v>8848.0</v>
      </c>
      <c r="L415" s="14">
        <v>7900.0</v>
      </c>
      <c r="M415" s="14">
        <v>948.0</v>
      </c>
      <c r="N415" s="14">
        <v>1680.0</v>
      </c>
      <c r="O415" s="14">
        <f t="shared" si="2"/>
        <v>-732</v>
      </c>
      <c r="P415" s="2" t="s">
        <v>2597</v>
      </c>
    </row>
    <row r="416" ht="22.5" customHeight="1">
      <c r="A416" s="2" t="s">
        <v>1637</v>
      </c>
      <c r="B416" s="12">
        <v>46173.0</v>
      </c>
      <c r="C416" s="13" t="str">
        <f t="shared" si="1"/>
        <v>2026-05</v>
      </c>
      <c r="D416" s="12">
        <v>46208.0</v>
      </c>
      <c r="E416" s="12">
        <v>46211.0</v>
      </c>
      <c r="F416" s="2" t="s">
        <v>143</v>
      </c>
      <c r="G416" s="2" t="str">
        <f>VLOOKUP(F416,Tabela_1[#ALL],2,0)</f>
        <v>Rede Vita ME</v>
      </c>
      <c r="H416" s="2" t="str">
        <f>VLOOKUP(F416,Tabela_1[#ALL],3,0)</f>
        <v>varejo</v>
      </c>
      <c r="I416" s="2" t="s">
        <v>91</v>
      </c>
      <c r="J416" s="2">
        <v>3.0</v>
      </c>
      <c r="K416" s="14">
        <v>3495.8</v>
      </c>
      <c r="L416" s="14">
        <v>3024.3</v>
      </c>
      <c r="M416" s="14">
        <v>471.5</v>
      </c>
      <c r="N416" s="14">
        <v>5118.0</v>
      </c>
      <c r="O416" s="14">
        <f t="shared" si="2"/>
        <v>-4646.5</v>
      </c>
      <c r="P416" s="2" t="s">
        <v>2599</v>
      </c>
    </row>
    <row r="417" ht="22.5" customHeight="1">
      <c r="A417" s="2" t="s">
        <v>1646</v>
      </c>
      <c r="B417" s="12">
        <v>46173.0</v>
      </c>
      <c r="C417" s="13" t="str">
        <f t="shared" si="1"/>
        <v>2026-05</v>
      </c>
      <c r="D417" s="12">
        <v>46189.0</v>
      </c>
      <c r="E417" s="12">
        <v>46186.0</v>
      </c>
      <c r="F417" s="2" t="s">
        <v>147</v>
      </c>
      <c r="G417" s="2" t="str">
        <f>VLOOKUP(F417,Tabela_1[#ALL],2,0)</f>
        <v>Vivê Beauty ME</v>
      </c>
      <c r="H417" s="2" t="str">
        <f>VLOOKUP(F417,Tabela_1[#ALL],3,0)</f>
        <v>cosmetico</v>
      </c>
      <c r="I417" s="2" t="s">
        <v>91</v>
      </c>
      <c r="J417" s="2">
        <v>1.0</v>
      </c>
      <c r="K417" s="14">
        <v>10203.2</v>
      </c>
      <c r="L417" s="14">
        <v>9110.0</v>
      </c>
      <c r="M417" s="14">
        <v>1093.2</v>
      </c>
      <c r="N417" s="14">
        <v>97.0</v>
      </c>
      <c r="O417" s="14">
        <f t="shared" si="2"/>
        <v>996.2</v>
      </c>
      <c r="P417" s="2" t="s">
        <v>2597</v>
      </c>
    </row>
    <row r="418" ht="22.5" customHeight="1">
      <c r="A418" s="2" t="s">
        <v>1649</v>
      </c>
      <c r="B418" s="12">
        <v>46173.0</v>
      </c>
      <c r="C418" s="13" t="str">
        <f t="shared" si="1"/>
        <v>2026-05</v>
      </c>
      <c r="D418" s="12">
        <v>46202.0</v>
      </c>
      <c r="E418" s="12">
        <v>46206.0</v>
      </c>
      <c r="F418" s="2" t="s">
        <v>153</v>
      </c>
      <c r="G418" s="2" t="str">
        <f>VLOOKUP(F418,Tabela_1[#ALL],2,0)</f>
        <v>Mercatto S.A.</v>
      </c>
      <c r="H418" s="2" t="str">
        <f>VLOOKUP(F418,Tabela_1[#ALL],3,0)</f>
        <v>varejo</v>
      </c>
      <c r="I418" s="2" t="s">
        <v>91</v>
      </c>
      <c r="J418" s="2">
        <v>2.0</v>
      </c>
      <c r="K418" s="14">
        <v>5357.6</v>
      </c>
      <c r="L418" s="14">
        <v>4493.7</v>
      </c>
      <c r="M418" s="14">
        <v>863.9</v>
      </c>
      <c r="N418" s="14">
        <v>990.0</v>
      </c>
      <c r="O418" s="14">
        <f t="shared" si="2"/>
        <v>-126.1</v>
      </c>
      <c r="P418" s="2" t="s">
        <v>2599</v>
      </c>
    </row>
    <row r="419" ht="22.5" customHeight="1">
      <c r="A419" s="2" t="s">
        <v>1650</v>
      </c>
      <c r="B419" s="12">
        <v>46173.0</v>
      </c>
      <c r="C419" s="13" t="str">
        <f t="shared" si="1"/>
        <v>2026-05</v>
      </c>
      <c r="D419" s="12">
        <v>46206.0</v>
      </c>
      <c r="E419" s="12">
        <v>46208.0</v>
      </c>
      <c r="F419" s="2" t="s">
        <v>159</v>
      </c>
      <c r="G419" s="2" t="str">
        <f>VLOOKUP(F419,Tabela_1[#ALL],2,0)</f>
        <v>Biolatina Indústria EPP</v>
      </c>
      <c r="H419" s="2" t="str">
        <f>VLOOKUP(F419,Tabela_1[#ALL],3,0)</f>
        <v>farmaceutico</v>
      </c>
      <c r="I419" s="2" t="s">
        <v>39</v>
      </c>
      <c r="J419" s="2">
        <v>1.0</v>
      </c>
      <c r="K419" s="14">
        <v>6168.5</v>
      </c>
      <c r="L419" s="14">
        <v>4839.9</v>
      </c>
      <c r="M419" s="14">
        <v>1328.6</v>
      </c>
      <c r="N419" s="14">
        <v>431.0</v>
      </c>
      <c r="O419" s="14">
        <f t="shared" si="2"/>
        <v>897.6</v>
      </c>
      <c r="P419" s="2" t="s">
        <v>2597</v>
      </c>
    </row>
    <row r="420" ht="22.5" customHeight="1">
      <c r="A420" s="2" t="s">
        <v>1652</v>
      </c>
      <c r="B420" s="12">
        <v>46173.0</v>
      </c>
      <c r="C420" s="13" t="str">
        <f t="shared" si="1"/>
        <v>2026-05</v>
      </c>
      <c r="D420" s="12">
        <v>46201.0</v>
      </c>
      <c r="E420" s="12">
        <v>46198.0</v>
      </c>
      <c r="F420" s="2" t="s">
        <v>163</v>
      </c>
      <c r="G420" s="2" t="str">
        <f>VLOOKUP(F420,Tabela_1[#ALL],2,0)</f>
        <v>RotaFácil S.A.</v>
      </c>
      <c r="H420" s="2" t="str">
        <f>VLOOKUP(F420,Tabela_1[#ALL],3,0)</f>
        <v>ecommerce</v>
      </c>
      <c r="I420" s="2" t="s">
        <v>39</v>
      </c>
      <c r="J420" s="2">
        <v>3.0</v>
      </c>
      <c r="K420" s="14">
        <v>5107.8</v>
      </c>
      <c r="L420" s="14">
        <v>4376.2</v>
      </c>
      <c r="M420" s="14">
        <v>731.6</v>
      </c>
      <c r="N420" s="14">
        <v>1977.0</v>
      </c>
      <c r="O420" s="14">
        <f t="shared" si="2"/>
        <v>-1245.4</v>
      </c>
      <c r="P420" s="2" t="s">
        <v>2597</v>
      </c>
    </row>
    <row r="421" ht="22.5" customHeight="1">
      <c r="A421" s="2" t="s">
        <v>1655</v>
      </c>
      <c r="B421" s="12">
        <v>46173.0</v>
      </c>
      <c r="C421" s="13" t="str">
        <f t="shared" si="1"/>
        <v>2026-05</v>
      </c>
      <c r="D421" s="12">
        <v>46196.0</v>
      </c>
      <c r="E421" s="12">
        <v>46197.0</v>
      </c>
      <c r="F421" s="2" t="s">
        <v>189</v>
      </c>
      <c r="G421" s="2" t="str">
        <f>VLOOKUP(F421,Tabela_1[#ALL],2,0)</f>
        <v>EnviaTudo Cooperativa (Joinville)</v>
      </c>
      <c r="H421" s="2" t="str">
        <f>VLOOKUP(F421,Tabela_1[#ALL],3,0)</f>
        <v>ecommerce</v>
      </c>
      <c r="I421" s="2" t="s">
        <v>22</v>
      </c>
      <c r="J421" s="2">
        <v>2.0</v>
      </c>
      <c r="K421" s="14">
        <v>24836.5</v>
      </c>
      <c r="L421" s="14">
        <v>19487.1</v>
      </c>
      <c r="M421" s="14">
        <v>5349.4</v>
      </c>
      <c r="N421" s="14">
        <v>3227.0</v>
      </c>
      <c r="O421" s="14">
        <f t="shared" si="2"/>
        <v>2122.4</v>
      </c>
      <c r="P421" s="2" t="s">
        <v>2597</v>
      </c>
    </row>
    <row r="422" ht="22.5" customHeight="1">
      <c r="A422" s="2" t="s">
        <v>1657</v>
      </c>
      <c r="B422" s="12">
        <v>46173.0</v>
      </c>
      <c r="C422" s="13" t="str">
        <f t="shared" si="1"/>
        <v>2026-05</v>
      </c>
      <c r="D422" s="12">
        <v>46193.0</v>
      </c>
      <c r="E422" s="12">
        <v>46198.0</v>
      </c>
      <c r="F422" s="2" t="s">
        <v>197</v>
      </c>
      <c r="G422" s="2" t="str">
        <f>VLOOKUP(F422,Tabela_1[#ALL],2,0)</f>
        <v>Sabor Forte Alimentos Indústria</v>
      </c>
      <c r="H422" s="2" t="str">
        <f>VLOOKUP(F422,Tabela_1[#ALL],3,0)</f>
        <v>alimenticio</v>
      </c>
      <c r="I422" s="2" t="s">
        <v>49</v>
      </c>
      <c r="J422" s="2">
        <v>2.0</v>
      </c>
      <c r="K422" s="14">
        <v>7483.0</v>
      </c>
      <c r="L422" s="14">
        <v>6369.4</v>
      </c>
      <c r="M422" s="14">
        <v>1113.6</v>
      </c>
      <c r="N422" s="14">
        <v>1876.0</v>
      </c>
      <c r="O422" s="14">
        <f t="shared" si="2"/>
        <v>-762.4</v>
      </c>
      <c r="P422" s="2" t="s">
        <v>2597</v>
      </c>
    </row>
    <row r="423" ht="22.5" customHeight="1">
      <c r="A423" s="2" t="s">
        <v>1660</v>
      </c>
      <c r="B423" s="12">
        <v>46173.0</v>
      </c>
      <c r="C423" s="13" t="str">
        <f t="shared" si="1"/>
        <v>2026-05</v>
      </c>
      <c r="D423" s="12">
        <v>46196.0</v>
      </c>
      <c r="F423" s="2" t="s">
        <v>229</v>
      </c>
      <c r="G423" s="2" t="str">
        <f>VLOOKUP(F423,Tabela_1[#ALL],2,0)</f>
        <v>Sirena Perfumaria S.A.</v>
      </c>
      <c r="H423" s="2" t="str">
        <f>VLOOKUP(F423,Tabela_1[#ALL],3,0)</f>
        <v>cosmetico</v>
      </c>
      <c r="I423" s="2" t="s">
        <v>91</v>
      </c>
      <c r="J423" s="2">
        <v>1.0</v>
      </c>
      <c r="K423" s="14">
        <v>8185.8</v>
      </c>
      <c r="L423" s="14">
        <v>6626.6</v>
      </c>
      <c r="M423" s="14">
        <v>1559.2</v>
      </c>
      <c r="N423" s="14">
        <v>3530.0</v>
      </c>
      <c r="O423" s="14">
        <f t="shared" si="2"/>
        <v>-1970.8</v>
      </c>
      <c r="P423" s="2" t="s">
        <v>2598</v>
      </c>
    </row>
    <row r="424" ht="22.5" customHeight="1">
      <c r="A424" s="2" t="s">
        <v>1662</v>
      </c>
      <c r="B424" s="12">
        <v>46173.0</v>
      </c>
      <c r="C424" s="13" t="str">
        <f t="shared" si="1"/>
        <v>2026-05</v>
      </c>
      <c r="D424" s="12">
        <v>46194.0</v>
      </c>
      <c r="E424" s="12">
        <v>46193.0</v>
      </c>
      <c r="F424" s="2" t="s">
        <v>235</v>
      </c>
      <c r="G424" s="2" t="str">
        <f>VLOOKUP(F424,Tabela_1[#ALL],2,0)</f>
        <v>Saúde Total Labs Comércio</v>
      </c>
      <c r="H424" s="2" t="str">
        <f>VLOOKUP(F424,Tabela_1[#ALL],3,0)</f>
        <v>farmaceutico</v>
      </c>
      <c r="I424" s="2" t="s">
        <v>39</v>
      </c>
      <c r="J424" s="2">
        <v>1.0</v>
      </c>
      <c r="K424" s="14">
        <v>7473.2</v>
      </c>
      <c r="L424" s="14">
        <v>5604.9</v>
      </c>
      <c r="M424" s="14">
        <v>1868.3</v>
      </c>
      <c r="N424" s="14">
        <v>110.0</v>
      </c>
      <c r="O424" s="14">
        <f t="shared" si="2"/>
        <v>1758.3</v>
      </c>
      <c r="P424" s="2" t="s">
        <v>2597</v>
      </c>
    </row>
    <row r="425" ht="22.5" customHeight="1">
      <c r="A425" s="2" t="s">
        <v>1664</v>
      </c>
      <c r="B425" s="12">
        <v>46173.0</v>
      </c>
      <c r="C425" s="13" t="str">
        <f t="shared" si="1"/>
        <v>2026-05</v>
      </c>
      <c r="D425" s="12">
        <v>46188.0</v>
      </c>
      <c r="E425" s="12">
        <v>46188.0</v>
      </c>
      <c r="F425" s="2" t="s">
        <v>243</v>
      </c>
      <c r="G425" s="2" t="str">
        <f>VLOOKUP(F425,Tabela_1[#ALL],2,0)</f>
        <v>RotaFácil Comércio</v>
      </c>
      <c r="H425" s="2" t="str">
        <f>VLOOKUP(F425,Tabela_1[#ALL],3,0)</f>
        <v>ecommerce</v>
      </c>
      <c r="I425" s="2" t="s">
        <v>22</v>
      </c>
      <c r="J425" s="2">
        <v>3.0</v>
      </c>
      <c r="K425" s="14">
        <v>6045.2</v>
      </c>
      <c r="L425" s="14">
        <v>5229.5</v>
      </c>
      <c r="M425" s="14">
        <v>815.7</v>
      </c>
      <c r="N425" s="14">
        <v>716.0</v>
      </c>
      <c r="O425" s="14">
        <f t="shared" si="2"/>
        <v>99.7</v>
      </c>
      <c r="P425" s="2" t="s">
        <v>2597</v>
      </c>
    </row>
    <row r="426" ht="22.5" customHeight="1">
      <c r="A426" s="2" t="s">
        <v>1667</v>
      </c>
      <c r="B426" s="12">
        <v>46174.0</v>
      </c>
      <c r="C426" s="13" t="str">
        <f t="shared" si="1"/>
        <v>2026-06</v>
      </c>
      <c r="D426" s="12">
        <v>46193.0</v>
      </c>
      <c r="F426" s="2" t="s">
        <v>64</v>
      </c>
      <c r="G426" s="2" t="str">
        <f>VLOOKUP(F426,Tabela_1[#ALL],2,0)</f>
        <v>Aromatic</v>
      </c>
      <c r="H426" s="2" t="str">
        <f>VLOOKUP(F426,Tabela_1[#ALL],3,0)</f>
        <v>cosmetico</v>
      </c>
      <c r="I426" s="2" t="s">
        <v>56</v>
      </c>
      <c r="J426" s="2">
        <v>1.0</v>
      </c>
      <c r="K426" s="14">
        <v>89649.0</v>
      </c>
      <c r="L426" s="14">
        <v>70438.5</v>
      </c>
      <c r="M426" s="14">
        <v>19210.5</v>
      </c>
      <c r="N426" s="14">
        <v>7607.0</v>
      </c>
      <c r="O426" s="14">
        <f t="shared" si="2"/>
        <v>11603.5</v>
      </c>
      <c r="P426" s="2" t="s">
        <v>2600</v>
      </c>
    </row>
    <row r="427" ht="22.5" customHeight="1">
      <c r="A427" s="2" t="s">
        <v>1670</v>
      </c>
      <c r="B427" s="12">
        <v>46174.0</v>
      </c>
      <c r="C427" s="13" t="str">
        <f t="shared" si="1"/>
        <v>2026-06</v>
      </c>
      <c r="D427" s="12">
        <v>46209.0</v>
      </c>
      <c r="E427" s="12">
        <v>46206.0</v>
      </c>
      <c r="F427" s="2" t="s">
        <v>115</v>
      </c>
      <c r="G427" s="2" t="str">
        <f>VLOOKUP(F427,Tabela_1[#ALL],2,0)</f>
        <v>Comercial Bandeirantes</v>
      </c>
      <c r="H427" s="2" t="str">
        <f>VLOOKUP(F427,Tabela_1[#ALL],3,0)</f>
        <v>distribuidor</v>
      </c>
      <c r="I427" s="2" t="s">
        <v>22</v>
      </c>
      <c r="J427" s="2">
        <v>2.0</v>
      </c>
      <c r="K427" s="14">
        <v>6816.2</v>
      </c>
      <c r="L427" s="14">
        <v>5511.3</v>
      </c>
      <c r="M427" s="14">
        <v>1304.9</v>
      </c>
      <c r="N427" s="14">
        <v>6514.0</v>
      </c>
      <c r="O427" s="14">
        <f t="shared" si="2"/>
        <v>-5209.1</v>
      </c>
      <c r="P427" s="2" t="s">
        <v>2597</v>
      </c>
    </row>
    <row r="428" ht="22.5" customHeight="1">
      <c r="A428" s="2" t="s">
        <v>1675</v>
      </c>
      <c r="B428" s="12">
        <v>46174.0</v>
      </c>
      <c r="C428" s="13" t="str">
        <f t="shared" si="1"/>
        <v>2026-06</v>
      </c>
      <c r="D428" s="12">
        <v>46197.0</v>
      </c>
      <c r="E428" s="12">
        <v>46198.0</v>
      </c>
      <c r="F428" s="2" t="s">
        <v>124</v>
      </c>
      <c r="G428" s="2" t="str">
        <f>VLOOKUP(F428,Tabela_1[#ALL],2,0)</f>
        <v>Mercatto Indústria</v>
      </c>
      <c r="H428" s="2" t="str">
        <f>VLOOKUP(F428,Tabela_1[#ALL],3,0)</f>
        <v>varejo</v>
      </c>
      <c r="I428" s="2" t="s">
        <v>49</v>
      </c>
      <c r="J428" s="2">
        <v>3.0</v>
      </c>
      <c r="K428" s="14">
        <v>22521.1</v>
      </c>
      <c r="L428" s="14">
        <v>19295.5</v>
      </c>
      <c r="M428" s="14">
        <v>3225.6</v>
      </c>
      <c r="N428" s="14">
        <v>2201.0</v>
      </c>
      <c r="O428" s="14">
        <f t="shared" si="2"/>
        <v>1024.6</v>
      </c>
      <c r="P428" s="2" t="s">
        <v>2597</v>
      </c>
    </row>
    <row r="429" ht="22.5" customHeight="1">
      <c r="A429" s="2" t="s">
        <v>1677</v>
      </c>
      <c r="B429" s="12">
        <v>46174.0</v>
      </c>
      <c r="C429" s="13" t="str">
        <f t="shared" si="1"/>
        <v>2026-06</v>
      </c>
      <c r="D429" s="12">
        <v>46201.0</v>
      </c>
      <c r="E429" s="12">
        <v>46201.0</v>
      </c>
      <c r="F429" s="2" t="s">
        <v>130</v>
      </c>
      <c r="G429" s="2" t="str">
        <f>VLOOKUP(F429,Tabela_1[#ALL],2,0)</f>
        <v>PackExpress Cooperativa</v>
      </c>
      <c r="H429" s="2" t="str">
        <f>VLOOKUP(F429,Tabela_1[#ALL],3,0)</f>
        <v>ecommerce</v>
      </c>
      <c r="I429" s="2" t="s">
        <v>39</v>
      </c>
      <c r="J429" s="2">
        <v>1.0</v>
      </c>
      <c r="K429" s="14">
        <v>18404.4</v>
      </c>
      <c r="L429" s="14">
        <v>16432.5</v>
      </c>
      <c r="M429" s="14">
        <v>1971.9</v>
      </c>
      <c r="N429" s="14">
        <v>3938.0</v>
      </c>
      <c r="O429" s="14">
        <f t="shared" si="2"/>
        <v>-1966.1</v>
      </c>
      <c r="P429" s="2" t="s">
        <v>2597</v>
      </c>
    </row>
    <row r="430" ht="22.5" customHeight="1">
      <c r="A430" s="2" t="s">
        <v>1680</v>
      </c>
      <c r="B430" s="12">
        <v>46174.0</v>
      </c>
      <c r="C430" s="13" t="str">
        <f t="shared" si="1"/>
        <v>2026-06</v>
      </c>
      <c r="D430" s="12">
        <v>46189.0</v>
      </c>
      <c r="E430" s="12">
        <v>46196.0</v>
      </c>
      <c r="F430" s="2" t="s">
        <v>140</v>
      </c>
      <c r="G430" s="2" t="str">
        <f>VLOOKUP(F430,Tabela_1[#ALL],2,0)</f>
        <v>EssenciaPura Comércio</v>
      </c>
      <c r="H430" s="2" t="str">
        <f>VLOOKUP(F430,Tabela_1[#ALL],3,0)</f>
        <v>cosmetico</v>
      </c>
      <c r="I430" s="2" t="s">
        <v>56</v>
      </c>
      <c r="J430" s="2">
        <v>3.0</v>
      </c>
      <c r="K430" s="14">
        <v>22582.6</v>
      </c>
      <c r="L430" s="14">
        <v>19348.3</v>
      </c>
      <c r="M430" s="14">
        <v>3234.3</v>
      </c>
      <c r="N430" s="14">
        <v>1932.0</v>
      </c>
      <c r="O430" s="14">
        <f t="shared" si="2"/>
        <v>1302.3</v>
      </c>
      <c r="P430" s="2" t="s">
        <v>2599</v>
      </c>
    </row>
    <row r="431" ht="22.5" customHeight="1">
      <c r="A431" s="2" t="s">
        <v>1684</v>
      </c>
      <c r="B431" s="12">
        <v>46174.0</v>
      </c>
      <c r="C431" s="13" t="str">
        <f t="shared" si="1"/>
        <v>2026-06</v>
      </c>
      <c r="D431" s="12">
        <v>46201.0</v>
      </c>
      <c r="E431" s="12">
        <v>46204.0</v>
      </c>
      <c r="F431" s="2" t="s">
        <v>143</v>
      </c>
      <c r="G431" s="2" t="str">
        <f>VLOOKUP(F431,Tabela_1[#ALL],2,0)</f>
        <v>Rede Vita ME</v>
      </c>
      <c r="H431" s="2" t="str">
        <f>VLOOKUP(F431,Tabela_1[#ALL],3,0)</f>
        <v>varejo</v>
      </c>
      <c r="I431" s="2" t="s">
        <v>91</v>
      </c>
      <c r="J431" s="2">
        <v>1.0</v>
      </c>
      <c r="K431" s="14">
        <v>5857.6</v>
      </c>
      <c r="L431" s="14">
        <v>5230.0</v>
      </c>
      <c r="M431" s="14">
        <v>627.6</v>
      </c>
      <c r="N431" s="14">
        <v>7247.0</v>
      </c>
      <c r="O431" s="14">
        <f t="shared" si="2"/>
        <v>-6619.4</v>
      </c>
      <c r="P431" s="2" t="s">
        <v>2597</v>
      </c>
    </row>
    <row r="432" ht="22.5" customHeight="1">
      <c r="A432" s="2" t="s">
        <v>1686</v>
      </c>
      <c r="B432" s="12">
        <v>46174.0</v>
      </c>
      <c r="C432" s="13" t="str">
        <f t="shared" si="1"/>
        <v>2026-06</v>
      </c>
      <c r="D432" s="12">
        <v>46191.0</v>
      </c>
      <c r="E432" s="12">
        <v>46188.0</v>
      </c>
      <c r="F432" s="2" t="s">
        <v>153</v>
      </c>
      <c r="G432" s="2" t="str">
        <f>VLOOKUP(F432,Tabela_1[#ALL],2,0)</f>
        <v>Mercatto S.A.</v>
      </c>
      <c r="H432" s="2" t="str">
        <f>VLOOKUP(F432,Tabela_1[#ALL],3,0)</f>
        <v>varejo</v>
      </c>
      <c r="I432" s="2" t="s">
        <v>91</v>
      </c>
      <c r="J432" s="2">
        <v>3.0</v>
      </c>
      <c r="K432" s="14">
        <v>4473.3</v>
      </c>
      <c r="L432" s="14">
        <v>3832.9</v>
      </c>
      <c r="M432" s="14">
        <v>640.4</v>
      </c>
      <c r="N432" s="14">
        <v>1137.0</v>
      </c>
      <c r="O432" s="14">
        <f t="shared" si="2"/>
        <v>-496.6</v>
      </c>
      <c r="P432" s="2" t="s">
        <v>2597</v>
      </c>
    </row>
    <row r="433" ht="22.5" customHeight="1">
      <c r="A433" s="2" t="s">
        <v>1693</v>
      </c>
      <c r="B433" s="12">
        <v>46174.0</v>
      </c>
      <c r="C433" s="13" t="str">
        <f t="shared" si="1"/>
        <v>2026-06</v>
      </c>
      <c r="D433" s="12">
        <v>46203.0</v>
      </c>
      <c r="E433" s="12">
        <v>46203.0</v>
      </c>
      <c r="F433" s="2" t="s">
        <v>161</v>
      </c>
      <c r="G433" s="2" t="str">
        <f>VLOOKUP(F433,Tabela_1[#ALL],2,0)</f>
        <v>Distrib. Litoral Sul Ltda</v>
      </c>
      <c r="H433" s="2" t="str">
        <f>VLOOKUP(F433,Tabela_1[#ALL],3,0)</f>
        <v>distribuidor</v>
      </c>
      <c r="I433" s="2" t="s">
        <v>56</v>
      </c>
      <c r="J433" s="2">
        <v>3.0</v>
      </c>
      <c r="K433" s="14">
        <v>6531.4</v>
      </c>
      <c r="L433" s="14">
        <v>5474.85</v>
      </c>
      <c r="M433" s="14">
        <v>1056.55</v>
      </c>
      <c r="N433" s="14">
        <v>1609.0</v>
      </c>
      <c r="O433" s="14">
        <f t="shared" si="2"/>
        <v>-552.45</v>
      </c>
      <c r="P433" s="2" t="s">
        <v>2597</v>
      </c>
    </row>
    <row r="434" ht="22.5" customHeight="1">
      <c r="A434" s="2" t="s">
        <v>1696</v>
      </c>
      <c r="B434" s="12">
        <v>46174.0</v>
      </c>
      <c r="C434" s="13" t="str">
        <f t="shared" si="1"/>
        <v>2026-06</v>
      </c>
      <c r="D434" s="12">
        <v>46207.0</v>
      </c>
      <c r="E434" s="12">
        <v>46208.0</v>
      </c>
      <c r="F434" s="2" t="s">
        <v>173</v>
      </c>
      <c r="G434" s="2" t="str">
        <f>VLOOKUP(F434,Tabela_1[#ALL],2,0)</f>
        <v>Distribuidora Sul Sul Ltda</v>
      </c>
      <c r="H434" s="2" t="str">
        <f>VLOOKUP(F434,Tabela_1[#ALL],3,0)</f>
        <v>distribuidor</v>
      </c>
      <c r="I434" s="2" t="s">
        <v>56</v>
      </c>
      <c r="J434" s="2">
        <v>1.0</v>
      </c>
      <c r="K434" s="14">
        <v>2749.5</v>
      </c>
      <c r="L434" s="14">
        <v>2157.3</v>
      </c>
      <c r="M434" s="14">
        <v>592.2</v>
      </c>
      <c r="N434" s="14">
        <v>2573.0</v>
      </c>
      <c r="O434" s="14">
        <f t="shared" si="2"/>
        <v>-1980.8</v>
      </c>
      <c r="P434" s="2" t="s">
        <v>2597</v>
      </c>
    </row>
    <row r="435" ht="22.5" customHeight="1">
      <c r="A435" s="2" t="s">
        <v>1698</v>
      </c>
      <c r="B435" s="12">
        <v>46174.0</v>
      </c>
      <c r="C435" s="13" t="str">
        <f t="shared" si="1"/>
        <v>2026-06</v>
      </c>
      <c r="D435" s="12">
        <v>46208.0</v>
      </c>
      <c r="F435" s="2" t="s">
        <v>175</v>
      </c>
      <c r="G435" s="2" t="str">
        <f>VLOOKUP(F435,Tabela_1[#ALL],2,0)</f>
        <v>Nutrigrão Comércio</v>
      </c>
      <c r="H435" s="2" t="str">
        <f>VLOOKUP(F435,Tabela_1[#ALL],3,0)</f>
        <v>alimenticio</v>
      </c>
      <c r="I435" s="2" t="s">
        <v>49</v>
      </c>
      <c r="J435" s="2">
        <v>3.0</v>
      </c>
      <c r="K435" s="14">
        <v>22089.9</v>
      </c>
      <c r="L435" s="14">
        <v>17040.9</v>
      </c>
      <c r="M435" s="14">
        <v>5049.0</v>
      </c>
      <c r="N435" s="14">
        <v>3302.0</v>
      </c>
      <c r="O435" s="14">
        <f t="shared" si="2"/>
        <v>1747</v>
      </c>
      <c r="P435" s="2" t="s">
        <v>2600</v>
      </c>
    </row>
    <row r="436" ht="22.5" customHeight="1">
      <c r="A436" s="2" t="s">
        <v>1702</v>
      </c>
      <c r="B436" s="12">
        <v>46174.0</v>
      </c>
      <c r="C436" s="13" t="str">
        <f t="shared" si="1"/>
        <v>2026-06</v>
      </c>
      <c r="D436" s="12">
        <v>46190.0</v>
      </c>
      <c r="E436" s="12">
        <v>46189.0</v>
      </c>
      <c r="F436" s="2" t="s">
        <v>203</v>
      </c>
      <c r="G436" s="2" t="str">
        <f>VLOOKUP(F436,Tabela_1[#ALL],2,0)</f>
        <v>BeautyLab S.A.</v>
      </c>
      <c r="H436" s="2" t="str">
        <f>VLOOKUP(F436,Tabela_1[#ALL],3,0)</f>
        <v>cosmetico</v>
      </c>
      <c r="I436" s="2" t="s">
        <v>22</v>
      </c>
      <c r="J436" s="2">
        <v>2.0</v>
      </c>
      <c r="K436" s="14">
        <v>11454.6</v>
      </c>
      <c r="L436" s="14">
        <v>9601.65</v>
      </c>
      <c r="M436" s="14">
        <v>1852.95</v>
      </c>
      <c r="N436" s="14">
        <v>4044.0</v>
      </c>
      <c r="O436" s="14">
        <f t="shared" si="2"/>
        <v>-2191.05</v>
      </c>
      <c r="P436" s="2" t="s">
        <v>2597</v>
      </c>
    </row>
    <row r="437" ht="22.5" customHeight="1">
      <c r="A437" s="2" t="s">
        <v>1706</v>
      </c>
      <c r="B437" s="12">
        <v>46174.0</v>
      </c>
      <c r="C437" s="13" t="str">
        <f t="shared" si="1"/>
        <v>2026-06</v>
      </c>
      <c r="D437" s="12">
        <v>46199.0</v>
      </c>
      <c r="E437" s="12">
        <v>46197.0</v>
      </c>
      <c r="F437" s="2" t="s">
        <v>207</v>
      </c>
      <c r="G437" s="2" t="str">
        <f>VLOOKUP(F437,Tabela_1[#ALL],2,0)</f>
        <v>Granoma Alimentos Cooperativa</v>
      </c>
      <c r="H437" s="2" t="str">
        <f>VLOOKUP(F437,Tabela_1[#ALL],3,0)</f>
        <v>alimenticio</v>
      </c>
      <c r="I437" s="2" t="s">
        <v>39</v>
      </c>
      <c r="J437" s="2">
        <v>2.0</v>
      </c>
      <c r="K437" s="14">
        <v>6071.1</v>
      </c>
      <c r="L437" s="14">
        <v>4640.1</v>
      </c>
      <c r="M437" s="14">
        <v>1431.0</v>
      </c>
      <c r="N437" s="14">
        <v>5824.0</v>
      </c>
      <c r="O437" s="14">
        <f t="shared" si="2"/>
        <v>-4393</v>
      </c>
      <c r="P437" s="2" t="s">
        <v>2597</v>
      </c>
    </row>
    <row r="438" ht="22.5" customHeight="1">
      <c r="A438" s="2" t="s">
        <v>1709</v>
      </c>
      <c r="B438" s="12">
        <v>46174.0</v>
      </c>
      <c r="C438" s="13" t="str">
        <f t="shared" si="1"/>
        <v>2026-06</v>
      </c>
      <c r="D438" s="12">
        <v>46202.0</v>
      </c>
      <c r="E438" s="12">
        <v>46199.0</v>
      </c>
      <c r="F438" s="2" t="s">
        <v>237</v>
      </c>
      <c r="G438" s="2" t="str">
        <f>VLOOKUP(F438,Tabela_1[#ALL],2,0)</f>
        <v>Sabor Forte Alimentos Comércio</v>
      </c>
      <c r="H438" s="2" t="str">
        <f>VLOOKUP(F438,Tabela_1[#ALL],3,0)</f>
        <v>alimenticio</v>
      </c>
      <c r="I438" s="2" t="s">
        <v>22</v>
      </c>
      <c r="J438" s="2">
        <v>1.0</v>
      </c>
      <c r="K438" s="14">
        <v>8416.8</v>
      </c>
      <c r="L438" s="14">
        <v>7515.0</v>
      </c>
      <c r="M438" s="14">
        <v>901.8</v>
      </c>
      <c r="N438" s="14">
        <v>1115.0</v>
      </c>
      <c r="O438" s="14">
        <f t="shared" si="2"/>
        <v>-213.2</v>
      </c>
      <c r="P438" s="2" t="s">
        <v>2597</v>
      </c>
    </row>
    <row r="439" ht="22.5" customHeight="1">
      <c r="A439" s="2" t="s">
        <v>1711</v>
      </c>
      <c r="B439" s="12">
        <v>46174.0</v>
      </c>
      <c r="C439" s="13" t="str">
        <f t="shared" si="1"/>
        <v>2026-06</v>
      </c>
      <c r="D439" s="12">
        <v>46195.0</v>
      </c>
      <c r="E439" s="12">
        <v>46197.0</v>
      </c>
      <c r="F439" s="2" t="s">
        <v>253</v>
      </c>
      <c r="G439" s="2" t="str">
        <f>VLOOKUP(F439,Tabela_1[#ALL],2,0)</f>
        <v>Atacadão Centro Oeste S.A.</v>
      </c>
      <c r="H439" s="2" t="str">
        <f>VLOOKUP(F439,Tabela_1[#ALL],3,0)</f>
        <v>distribuidor</v>
      </c>
      <c r="I439" s="2" t="s">
        <v>22</v>
      </c>
      <c r="J439" s="2">
        <v>1.0</v>
      </c>
      <c r="K439" s="14">
        <v>2214.8</v>
      </c>
      <c r="L439" s="14">
        <v>1977.5</v>
      </c>
      <c r="M439" s="14">
        <v>237.3</v>
      </c>
      <c r="N439" s="14">
        <v>2013.0</v>
      </c>
      <c r="O439" s="14">
        <f t="shared" si="2"/>
        <v>-1775.7</v>
      </c>
      <c r="P439" s="2" t="s">
        <v>2597</v>
      </c>
    </row>
    <row r="440" ht="22.5" customHeight="1">
      <c r="A440" s="2" t="s">
        <v>1712</v>
      </c>
      <c r="B440" s="12">
        <v>46174.0</v>
      </c>
      <c r="C440" s="13" t="str">
        <f t="shared" si="1"/>
        <v>2026-06</v>
      </c>
      <c r="D440" s="12">
        <v>46205.0</v>
      </c>
      <c r="E440" s="12">
        <v>46206.0</v>
      </c>
      <c r="F440" s="2" t="s">
        <v>257</v>
      </c>
      <c r="G440" s="2" t="str">
        <f>VLOOKUP(F440,Tabela_1[#ALL],2,0)</f>
        <v>Mercado Vale Ltda (Londrina)</v>
      </c>
      <c r="H440" s="2" t="str">
        <f>VLOOKUP(F440,Tabela_1[#ALL],3,0)</f>
        <v>varejo</v>
      </c>
      <c r="I440" s="2" t="s">
        <v>39</v>
      </c>
      <c r="J440" s="2">
        <v>2.0</v>
      </c>
      <c r="K440" s="14">
        <v>6393.8</v>
      </c>
      <c r="L440" s="14">
        <v>5442.4</v>
      </c>
      <c r="M440" s="14">
        <v>951.4</v>
      </c>
      <c r="N440" s="14">
        <v>2246.0</v>
      </c>
      <c r="O440" s="14">
        <f t="shared" si="2"/>
        <v>-1294.6</v>
      </c>
      <c r="P440" s="2" t="s">
        <v>2597</v>
      </c>
    </row>
    <row r="441" ht="22.5" customHeight="1">
      <c r="A441" s="2" t="s">
        <v>1715</v>
      </c>
      <c r="B441" s="12">
        <v>46175.0</v>
      </c>
      <c r="C441" s="13" t="str">
        <f t="shared" si="1"/>
        <v>2026-06</v>
      </c>
      <c r="D441" s="12">
        <v>46203.0</v>
      </c>
      <c r="E441" s="12">
        <v>46201.0</v>
      </c>
      <c r="F441" s="2" t="s">
        <v>106</v>
      </c>
      <c r="G441" s="2" t="str">
        <f>VLOOKUP(F441,Tabela_1[#ALL],2,0)</f>
        <v>DistribuPlus</v>
      </c>
      <c r="H441" s="2" t="str">
        <f>VLOOKUP(F441,Tabela_1[#ALL],3,0)</f>
        <v>distribuidor</v>
      </c>
      <c r="I441" s="2" t="s">
        <v>22</v>
      </c>
      <c r="J441" s="2">
        <v>2.0</v>
      </c>
      <c r="K441" s="14">
        <v>17168.5</v>
      </c>
      <c r="L441" s="14">
        <v>14399.6</v>
      </c>
      <c r="M441" s="14">
        <v>2768.9</v>
      </c>
      <c r="N441" s="14">
        <v>2699.0</v>
      </c>
      <c r="O441" s="14">
        <f t="shared" si="2"/>
        <v>69.9</v>
      </c>
      <c r="P441" s="2" t="s">
        <v>2597</v>
      </c>
    </row>
    <row r="442" ht="22.5" customHeight="1">
      <c r="A442" s="2" t="s">
        <v>1718</v>
      </c>
      <c r="B442" s="12">
        <v>46175.0</v>
      </c>
      <c r="C442" s="13" t="str">
        <f t="shared" si="1"/>
        <v>2026-06</v>
      </c>
      <c r="D442" s="12">
        <v>46193.0</v>
      </c>
      <c r="F442" s="2" t="s">
        <v>108</v>
      </c>
      <c r="G442" s="2" t="str">
        <f>VLOOKUP(F442,Tabela_1[#ALL],2,0)</f>
        <v>Ciência da Vida Farma</v>
      </c>
      <c r="H442" s="2" t="str">
        <f>VLOOKUP(F442,Tabela_1[#ALL],3,0)</f>
        <v>farmaceutico</v>
      </c>
      <c r="I442" s="2" t="s">
        <v>91</v>
      </c>
      <c r="J442" s="2">
        <v>2.0</v>
      </c>
      <c r="K442" s="14">
        <v>20528.3</v>
      </c>
      <c r="L442" s="14">
        <v>17217.9</v>
      </c>
      <c r="M442" s="14">
        <v>3310.4</v>
      </c>
      <c r="N442" s="14">
        <v>1161.0</v>
      </c>
      <c r="O442" s="14">
        <f t="shared" si="2"/>
        <v>2149.4</v>
      </c>
      <c r="P442" s="2" t="s">
        <v>2600</v>
      </c>
    </row>
    <row r="443" ht="22.5" customHeight="1">
      <c r="A443" s="2" t="s">
        <v>1720</v>
      </c>
      <c r="B443" s="12">
        <v>46175.0</v>
      </c>
      <c r="C443" s="13" t="str">
        <f t="shared" si="1"/>
        <v>2026-06</v>
      </c>
      <c r="D443" s="12">
        <v>46191.0</v>
      </c>
      <c r="E443" s="12">
        <v>46193.0</v>
      </c>
      <c r="F443" s="2" t="s">
        <v>193</v>
      </c>
      <c r="G443" s="2" t="str">
        <f>VLOOKUP(F443,Tabela_1[#ALL],2,0)</f>
        <v>Vita Floral S.A.</v>
      </c>
      <c r="H443" s="2" t="str">
        <f>VLOOKUP(F443,Tabela_1[#ALL],3,0)</f>
        <v>cosmetico</v>
      </c>
      <c r="I443" s="2" t="s">
        <v>56</v>
      </c>
      <c r="J443" s="2">
        <v>2.0</v>
      </c>
      <c r="K443" s="14">
        <v>12461.0</v>
      </c>
      <c r="L443" s="14">
        <v>10445.25</v>
      </c>
      <c r="M443" s="14">
        <v>2015.75</v>
      </c>
      <c r="N443" s="14">
        <v>6448.0</v>
      </c>
      <c r="O443" s="14">
        <f t="shared" si="2"/>
        <v>-4432.25</v>
      </c>
      <c r="P443" s="2" t="s">
        <v>2597</v>
      </c>
    </row>
    <row r="444" ht="22.5" customHeight="1">
      <c r="A444" s="2" t="s">
        <v>1723</v>
      </c>
      <c r="B444" s="12">
        <v>46175.0</v>
      </c>
      <c r="C444" s="13" t="str">
        <f t="shared" si="1"/>
        <v>2026-06</v>
      </c>
      <c r="D444" s="12">
        <v>46206.0</v>
      </c>
      <c r="E444" s="12">
        <v>46203.0</v>
      </c>
      <c r="F444" s="2" t="s">
        <v>227</v>
      </c>
      <c r="G444" s="2" t="str">
        <f>VLOOKUP(F444,Tabela_1[#ALL],2,0)</f>
        <v>Granoma Alimentos Indústria</v>
      </c>
      <c r="H444" s="2" t="str">
        <f>VLOOKUP(F444,Tabela_1[#ALL],3,0)</f>
        <v>alimenticio</v>
      </c>
      <c r="I444" s="2" t="s">
        <v>56</v>
      </c>
      <c r="J444" s="2">
        <v>3.0</v>
      </c>
      <c r="K444" s="14">
        <v>32955.4</v>
      </c>
      <c r="L444" s="14">
        <v>26319.6</v>
      </c>
      <c r="M444" s="14">
        <v>6635.8</v>
      </c>
      <c r="N444" s="14">
        <v>790.0</v>
      </c>
      <c r="O444" s="14">
        <f t="shared" si="2"/>
        <v>5845.8</v>
      </c>
      <c r="P444" s="2" t="s">
        <v>2597</v>
      </c>
    </row>
    <row r="445" ht="22.5" customHeight="1">
      <c r="A445" s="2" t="s">
        <v>1731</v>
      </c>
      <c r="B445" s="12">
        <v>46175.0</v>
      </c>
      <c r="C445" s="13" t="str">
        <f t="shared" si="1"/>
        <v>2026-06</v>
      </c>
      <c r="D445" s="12">
        <v>46194.0</v>
      </c>
      <c r="E445" s="12">
        <v>46194.0</v>
      </c>
      <c r="F445" s="2" t="s">
        <v>249</v>
      </c>
      <c r="G445" s="2" t="str">
        <f>VLOOKUP(F445,Tabela_1[#ALL],2,0)</f>
        <v>Distrib. Litoral Sul EPP</v>
      </c>
      <c r="H445" s="2" t="str">
        <f>VLOOKUP(F445,Tabela_1[#ALL],3,0)</f>
        <v>distribuidor</v>
      </c>
      <c r="I445" s="2" t="s">
        <v>91</v>
      </c>
      <c r="J445" s="2">
        <v>3.0</v>
      </c>
      <c r="K445" s="14">
        <v>16698.5</v>
      </c>
      <c r="L445" s="14">
        <v>13101.9</v>
      </c>
      <c r="M445" s="14">
        <v>3596.6</v>
      </c>
      <c r="N445" s="14">
        <v>2437.0</v>
      </c>
      <c r="O445" s="14">
        <f t="shared" si="2"/>
        <v>1159.6</v>
      </c>
      <c r="P445" s="2" t="s">
        <v>2597</v>
      </c>
    </row>
    <row r="446" ht="22.5" customHeight="1">
      <c r="A446" s="2" t="s">
        <v>1734</v>
      </c>
      <c r="B446" s="12">
        <v>46176.0</v>
      </c>
      <c r="C446" s="13" t="str">
        <f t="shared" si="1"/>
        <v>2026-06</v>
      </c>
      <c r="D446" s="12">
        <v>46205.0</v>
      </c>
      <c r="E446" s="12">
        <v>46202.0</v>
      </c>
      <c r="F446" s="2" t="s">
        <v>61</v>
      </c>
      <c r="G446" s="2" t="str">
        <f>VLOOKUP(F446,Tabela_1[#ALL],2,0)</f>
        <v>Mercosul Atacado</v>
      </c>
      <c r="H446" s="2" t="str">
        <f>VLOOKUP(F446,Tabela_1[#ALL],3,0)</f>
        <v>distribuidor</v>
      </c>
      <c r="I446" s="2" t="s">
        <v>39</v>
      </c>
      <c r="J446" s="2">
        <v>3.0</v>
      </c>
      <c r="K446" s="14">
        <v>46337.2</v>
      </c>
      <c r="L446" s="14">
        <v>41372.5</v>
      </c>
      <c r="M446" s="14">
        <v>4964.7</v>
      </c>
      <c r="N446" s="14">
        <v>3457.0</v>
      </c>
      <c r="O446" s="14">
        <f t="shared" si="2"/>
        <v>1507.7</v>
      </c>
      <c r="P446" s="2" t="s">
        <v>2597</v>
      </c>
    </row>
    <row r="447" ht="22.5" customHeight="1">
      <c r="A447" s="2" t="s">
        <v>1740</v>
      </c>
      <c r="B447" s="12">
        <v>46176.0</v>
      </c>
      <c r="C447" s="13" t="str">
        <f t="shared" si="1"/>
        <v>2026-06</v>
      </c>
      <c r="D447" s="12">
        <v>46206.0</v>
      </c>
      <c r="E447" s="12">
        <v>46206.0</v>
      </c>
      <c r="F447" s="2" t="s">
        <v>111</v>
      </c>
      <c r="G447" s="2" t="str">
        <f>VLOOKUP(F447,Tabela_1[#ALL],2,0)</f>
        <v>Salutar Farma Comércio</v>
      </c>
      <c r="H447" s="2" t="str">
        <f>VLOOKUP(F447,Tabela_1[#ALL],3,0)</f>
        <v>farmaceutico</v>
      </c>
      <c r="I447" s="2" t="s">
        <v>43</v>
      </c>
      <c r="J447" s="2">
        <v>1.0</v>
      </c>
      <c r="K447" s="14">
        <v>14045.2</v>
      </c>
      <c r="L447" s="14">
        <v>10939.05</v>
      </c>
      <c r="M447" s="14">
        <v>3106.15</v>
      </c>
      <c r="N447" s="14">
        <v>2030.0</v>
      </c>
      <c r="O447" s="14">
        <f t="shared" si="2"/>
        <v>1076.15</v>
      </c>
      <c r="P447" s="2" t="s">
        <v>2597</v>
      </c>
    </row>
    <row r="448" ht="22.5" customHeight="1">
      <c r="A448" s="2" t="s">
        <v>1744</v>
      </c>
      <c r="B448" s="12">
        <v>46176.0</v>
      </c>
      <c r="C448" s="13" t="str">
        <f t="shared" si="1"/>
        <v>2026-06</v>
      </c>
      <c r="D448" s="12">
        <v>46209.0</v>
      </c>
      <c r="F448" s="2" t="s">
        <v>175</v>
      </c>
      <c r="G448" s="2" t="str">
        <f>VLOOKUP(F448,Tabela_1[#ALL],2,0)</f>
        <v>Nutrigrão Comércio</v>
      </c>
      <c r="H448" s="2" t="str">
        <f>VLOOKUP(F448,Tabela_1[#ALL],3,0)</f>
        <v>alimenticio</v>
      </c>
      <c r="I448" s="2" t="s">
        <v>49</v>
      </c>
      <c r="J448" s="2">
        <v>3.0</v>
      </c>
      <c r="K448" s="14">
        <v>43536.4</v>
      </c>
      <c r="L448" s="14">
        <v>35301.6</v>
      </c>
      <c r="M448" s="14">
        <v>8234.8</v>
      </c>
      <c r="N448" s="14">
        <v>2440.0</v>
      </c>
      <c r="O448" s="14">
        <f t="shared" si="2"/>
        <v>5794.8</v>
      </c>
      <c r="P448" s="2" t="s">
        <v>2600</v>
      </c>
    </row>
    <row r="449" ht="22.5" customHeight="1">
      <c r="A449" s="2" t="s">
        <v>1747</v>
      </c>
      <c r="B449" s="12">
        <v>46176.0</v>
      </c>
      <c r="C449" s="13" t="str">
        <f t="shared" si="1"/>
        <v>2026-06</v>
      </c>
      <c r="D449" s="12">
        <v>46209.0</v>
      </c>
      <c r="E449" s="12">
        <v>46206.0</v>
      </c>
      <c r="F449" s="2" t="s">
        <v>191</v>
      </c>
      <c r="G449" s="2" t="str">
        <f>VLOOKUP(F449,Tabela_1[#ALL],2,0)</f>
        <v>Solene Cosméticos Ltda (São Paulo)</v>
      </c>
      <c r="H449" s="2" t="str">
        <f>VLOOKUP(F449,Tabela_1[#ALL],3,0)</f>
        <v>cosmetico</v>
      </c>
      <c r="I449" s="2" t="s">
        <v>49</v>
      </c>
      <c r="J449" s="2">
        <v>3.0</v>
      </c>
      <c r="K449" s="14">
        <v>2661.5</v>
      </c>
      <c r="L449" s="14">
        <v>2206.1</v>
      </c>
      <c r="M449" s="14">
        <v>455.4</v>
      </c>
      <c r="N449" s="14">
        <v>5457.0</v>
      </c>
      <c r="O449" s="14">
        <f t="shared" si="2"/>
        <v>-5001.6</v>
      </c>
      <c r="P449" s="2" t="s">
        <v>2597</v>
      </c>
    </row>
    <row r="450" ht="22.5" customHeight="1">
      <c r="A450" s="2" t="s">
        <v>1756</v>
      </c>
      <c r="B450" s="12">
        <v>46176.0</v>
      </c>
      <c r="C450" s="13" t="str">
        <f t="shared" si="1"/>
        <v>2026-06</v>
      </c>
      <c r="D450" s="12">
        <v>46211.0</v>
      </c>
      <c r="E450" s="12">
        <v>46212.0</v>
      </c>
      <c r="F450" s="2" t="s">
        <v>207</v>
      </c>
      <c r="G450" s="2" t="str">
        <f>VLOOKUP(F450,Tabela_1[#ALL],2,0)</f>
        <v>Granoma Alimentos Cooperativa</v>
      </c>
      <c r="H450" s="2" t="str">
        <f>VLOOKUP(F450,Tabela_1[#ALL],3,0)</f>
        <v>alimenticio</v>
      </c>
      <c r="I450" s="2" t="s">
        <v>39</v>
      </c>
      <c r="J450" s="2">
        <v>1.0</v>
      </c>
      <c r="K450" s="14">
        <v>9591.4</v>
      </c>
      <c r="L450" s="14">
        <v>8039.85</v>
      </c>
      <c r="M450" s="14">
        <v>1551.55</v>
      </c>
      <c r="N450" s="14">
        <v>4598.0</v>
      </c>
      <c r="O450" s="14">
        <f t="shared" si="2"/>
        <v>-3046.45</v>
      </c>
      <c r="P450" s="2" t="s">
        <v>2597</v>
      </c>
    </row>
    <row r="451" ht="22.5" customHeight="1">
      <c r="A451" s="2" t="s">
        <v>1759</v>
      </c>
      <c r="B451" s="12">
        <v>46176.0</v>
      </c>
      <c r="C451" s="13" t="str">
        <f t="shared" si="1"/>
        <v>2026-06</v>
      </c>
      <c r="D451" s="12">
        <v>46199.0</v>
      </c>
      <c r="E451" s="12">
        <v>46201.0</v>
      </c>
      <c r="F451" s="2" t="s">
        <v>213</v>
      </c>
      <c r="G451" s="2" t="str">
        <f>VLOOKUP(F451,Tabela_1[#ALL],2,0)</f>
        <v>Doce Vale ME</v>
      </c>
      <c r="H451" s="2" t="str">
        <f>VLOOKUP(F451,Tabela_1[#ALL],3,0)</f>
        <v>alimenticio</v>
      </c>
      <c r="I451" s="2" t="s">
        <v>39</v>
      </c>
      <c r="J451" s="2">
        <v>3.0</v>
      </c>
      <c r="K451" s="14">
        <v>10761.6</v>
      </c>
      <c r="L451" s="14">
        <v>8622.4</v>
      </c>
      <c r="M451" s="14">
        <v>2139.2</v>
      </c>
      <c r="N451" s="14">
        <v>2261.0</v>
      </c>
      <c r="O451" s="14">
        <f t="shared" si="2"/>
        <v>-121.8</v>
      </c>
      <c r="P451" s="2" t="s">
        <v>2597</v>
      </c>
    </row>
    <row r="452" ht="22.5" customHeight="1">
      <c r="A452" s="2" t="s">
        <v>1761</v>
      </c>
      <c r="B452" s="12">
        <v>46176.0</v>
      </c>
      <c r="C452" s="13" t="str">
        <f t="shared" si="1"/>
        <v>2026-06</v>
      </c>
      <c r="D452" s="12">
        <v>46206.0</v>
      </c>
      <c r="E452" s="12">
        <v>46203.0</v>
      </c>
      <c r="F452" s="2" t="s">
        <v>217</v>
      </c>
      <c r="G452" s="2" t="str">
        <f>VLOOKUP(F452,Tabela_1[#ALL],2,0)</f>
        <v>Cherie Cosméticos Ltda</v>
      </c>
      <c r="H452" s="2" t="str">
        <f>VLOOKUP(F452,Tabela_1[#ALL],3,0)</f>
        <v>cosmetico</v>
      </c>
      <c r="I452" s="2" t="s">
        <v>56</v>
      </c>
      <c r="J452" s="2">
        <v>3.0</v>
      </c>
      <c r="K452" s="14">
        <v>9750.8</v>
      </c>
      <c r="L452" s="14">
        <v>7731.6</v>
      </c>
      <c r="M452" s="14">
        <v>2019.2</v>
      </c>
      <c r="N452" s="14">
        <v>2884.0</v>
      </c>
      <c r="O452" s="14">
        <f t="shared" si="2"/>
        <v>-864.8</v>
      </c>
      <c r="P452" s="2" t="s">
        <v>2597</v>
      </c>
    </row>
    <row r="453" ht="22.5" customHeight="1">
      <c r="A453" s="2" t="s">
        <v>1762</v>
      </c>
      <c r="B453" s="12">
        <v>46176.0</v>
      </c>
      <c r="C453" s="13" t="str">
        <f t="shared" si="1"/>
        <v>2026-06</v>
      </c>
      <c r="D453" s="12">
        <v>46200.0</v>
      </c>
      <c r="E453" s="12">
        <v>46199.0</v>
      </c>
      <c r="F453" s="2" t="s">
        <v>219</v>
      </c>
      <c r="G453" s="2" t="str">
        <f>VLOOKUP(F453,Tabela_1[#ALL],2,0)</f>
        <v>Tradição Alimentos Comércio</v>
      </c>
      <c r="H453" s="2" t="str">
        <f>VLOOKUP(F453,Tabela_1[#ALL],3,0)</f>
        <v>alimenticio</v>
      </c>
      <c r="I453" s="2" t="s">
        <v>56</v>
      </c>
      <c r="J453" s="2">
        <v>3.0</v>
      </c>
      <c r="K453" s="14">
        <v>24649.8</v>
      </c>
      <c r="L453" s="14">
        <v>20639.2</v>
      </c>
      <c r="M453" s="14">
        <v>4010.6</v>
      </c>
      <c r="N453" s="14">
        <v>85.0</v>
      </c>
      <c r="O453" s="14">
        <f t="shared" si="2"/>
        <v>3925.6</v>
      </c>
      <c r="P453" s="2" t="s">
        <v>2597</v>
      </c>
    </row>
    <row r="454" ht="22.5" customHeight="1">
      <c r="A454" s="2" t="s">
        <v>1766</v>
      </c>
      <c r="B454" s="12">
        <v>46177.0</v>
      </c>
      <c r="C454" s="13" t="str">
        <f t="shared" si="1"/>
        <v>2026-06</v>
      </c>
      <c r="D454" s="12">
        <v>46210.0</v>
      </c>
      <c r="E454" s="12">
        <v>46209.0</v>
      </c>
      <c r="F454" s="2" t="s">
        <v>10</v>
      </c>
      <c r="G454" s="2" t="str">
        <f>VLOOKUP(F454,Tabela_1[#ALL],2,0)</f>
        <v>AgroMar</v>
      </c>
      <c r="H454" s="2" t="str">
        <f>VLOOKUP(F454,Tabela_1[#ALL],3,0)</f>
        <v>alimenticio</v>
      </c>
      <c r="I454" s="2" t="s">
        <v>16</v>
      </c>
      <c r="J454" s="2">
        <v>1.0</v>
      </c>
      <c r="K454" s="14">
        <v>340860.0</v>
      </c>
      <c r="L454" s="14">
        <v>265477.5</v>
      </c>
      <c r="M454" s="14">
        <v>75382.5</v>
      </c>
      <c r="N454" s="14">
        <v>8906.0</v>
      </c>
      <c r="O454" s="14">
        <f t="shared" si="2"/>
        <v>66476.5</v>
      </c>
      <c r="P454" s="2" t="s">
        <v>2597</v>
      </c>
    </row>
    <row r="455" ht="22.5" customHeight="1">
      <c r="A455" s="2" t="s">
        <v>1769</v>
      </c>
      <c r="B455" s="12">
        <v>46177.0</v>
      </c>
      <c r="C455" s="13" t="str">
        <f t="shared" si="1"/>
        <v>2026-06</v>
      </c>
      <c r="D455" s="12">
        <v>46199.0</v>
      </c>
      <c r="F455" s="2" t="s">
        <v>28</v>
      </c>
      <c r="G455" s="2" t="str">
        <f>VLOOKUP(F455,Tabela_1[#ALL],2,0)</f>
        <v>CoopFrigo</v>
      </c>
      <c r="H455" s="2" t="str">
        <f>VLOOKUP(F455,Tabela_1[#ALL],3,0)</f>
        <v>alimenticio</v>
      </c>
      <c r="I455" s="2" t="s">
        <v>16</v>
      </c>
      <c r="J455" s="2">
        <v>3.0</v>
      </c>
      <c r="K455" s="14">
        <v>149546.7</v>
      </c>
      <c r="L455" s="14">
        <v>123974.0</v>
      </c>
      <c r="M455" s="14">
        <v>25572.7</v>
      </c>
      <c r="N455" s="14">
        <v>1621.0</v>
      </c>
      <c r="O455" s="14">
        <f t="shared" si="2"/>
        <v>23951.7</v>
      </c>
      <c r="P455" s="2" t="s">
        <v>2600</v>
      </c>
    </row>
    <row r="456" ht="22.5" customHeight="1">
      <c r="A456" s="2" t="s">
        <v>1777</v>
      </c>
      <c r="B456" s="12">
        <v>46177.0</v>
      </c>
      <c r="C456" s="13" t="str">
        <f t="shared" si="1"/>
        <v>2026-06</v>
      </c>
      <c r="D456" s="12">
        <v>46195.0</v>
      </c>
      <c r="E456" s="12">
        <v>46197.0</v>
      </c>
      <c r="F456" s="2" t="s">
        <v>35</v>
      </c>
      <c r="G456" s="2" t="str">
        <f>VLOOKUP(F456,Tabela_1[#ALL],2,0)</f>
        <v>CoopVale</v>
      </c>
      <c r="H456" s="2" t="str">
        <f>VLOOKUP(F456,Tabela_1[#ALL],3,0)</f>
        <v>alimenticio</v>
      </c>
      <c r="I456" s="2" t="s">
        <v>39</v>
      </c>
      <c r="J456" s="2">
        <v>3.0</v>
      </c>
      <c r="K456" s="14">
        <v>35855.7</v>
      </c>
      <c r="L456" s="14">
        <v>28728.3</v>
      </c>
      <c r="M456" s="14">
        <v>7127.4</v>
      </c>
      <c r="N456" s="14">
        <v>381.0</v>
      </c>
      <c r="O456" s="14">
        <f t="shared" si="2"/>
        <v>6746.4</v>
      </c>
      <c r="P456" s="2" t="s">
        <v>2597</v>
      </c>
    </row>
    <row r="457" ht="22.5" customHeight="1">
      <c r="A457" s="2" t="s">
        <v>1780</v>
      </c>
      <c r="B457" s="12">
        <v>46177.0</v>
      </c>
      <c r="C457" s="13" t="str">
        <f t="shared" si="1"/>
        <v>2026-06</v>
      </c>
      <c r="D457" s="12">
        <v>46202.0</v>
      </c>
      <c r="E457" s="12">
        <v>46201.0</v>
      </c>
      <c r="F457" s="2" t="s">
        <v>57</v>
      </c>
      <c r="G457" s="2" t="str">
        <f>VLOOKUP(F457,Tabela_1[#ALL],2,0)</f>
        <v>Distribuidora Oeste</v>
      </c>
      <c r="H457" s="2" t="str">
        <f>VLOOKUP(F457,Tabela_1[#ALL],3,0)</f>
        <v>distribuidor</v>
      </c>
      <c r="I457" s="2" t="s">
        <v>39</v>
      </c>
      <c r="J457" s="2">
        <v>1.0</v>
      </c>
      <c r="K457" s="14">
        <v>64005.5</v>
      </c>
      <c r="L457" s="14">
        <v>50219.7</v>
      </c>
      <c r="M457" s="14">
        <v>13785.8</v>
      </c>
      <c r="N457" s="14">
        <v>208.0</v>
      </c>
      <c r="O457" s="14">
        <f t="shared" si="2"/>
        <v>13577.8</v>
      </c>
      <c r="P457" s="2" t="s">
        <v>2597</v>
      </c>
    </row>
    <row r="458" ht="22.5" customHeight="1">
      <c r="A458" s="2" t="s">
        <v>1784</v>
      </c>
      <c r="B458" s="12">
        <v>46177.0</v>
      </c>
      <c r="C458" s="13" t="str">
        <f t="shared" si="1"/>
        <v>2026-06</v>
      </c>
      <c r="D458" s="12">
        <v>46209.0</v>
      </c>
      <c r="E458" s="12">
        <v>46206.0</v>
      </c>
      <c r="F458" s="2" t="s">
        <v>64</v>
      </c>
      <c r="G458" s="2" t="str">
        <f>VLOOKUP(F458,Tabela_1[#ALL],2,0)</f>
        <v>Aromatic</v>
      </c>
      <c r="H458" s="2" t="str">
        <f>VLOOKUP(F458,Tabela_1[#ALL],3,0)</f>
        <v>cosmetico</v>
      </c>
      <c r="I458" s="2" t="s">
        <v>56</v>
      </c>
      <c r="J458" s="2">
        <v>1.0</v>
      </c>
      <c r="K458" s="14">
        <v>30374.4</v>
      </c>
      <c r="L458" s="14">
        <v>23865.6</v>
      </c>
      <c r="M458" s="14">
        <v>6508.8</v>
      </c>
      <c r="N458" s="14">
        <v>6805.0</v>
      </c>
      <c r="O458" s="14">
        <f t="shared" si="2"/>
        <v>-296.2</v>
      </c>
      <c r="P458" s="2" t="s">
        <v>2597</v>
      </c>
    </row>
    <row r="459" ht="22.5" customHeight="1">
      <c r="A459" s="2" t="s">
        <v>1787</v>
      </c>
      <c r="B459" s="12">
        <v>46177.0</v>
      </c>
      <c r="C459" s="13" t="str">
        <f t="shared" si="1"/>
        <v>2026-06</v>
      </c>
      <c r="D459" s="12">
        <v>46192.0</v>
      </c>
      <c r="F459" s="2" t="s">
        <v>147</v>
      </c>
      <c r="G459" s="2" t="str">
        <f>VLOOKUP(F459,Tabela_1[#ALL],2,0)</f>
        <v>Vivê Beauty ME</v>
      </c>
      <c r="H459" s="2" t="str">
        <f>VLOOKUP(F459,Tabela_1[#ALL],3,0)</f>
        <v>cosmetico</v>
      </c>
      <c r="I459" s="2" t="s">
        <v>91</v>
      </c>
      <c r="J459" s="2">
        <v>2.0</v>
      </c>
      <c r="K459" s="14">
        <v>3420.3</v>
      </c>
      <c r="L459" s="14">
        <v>2868.8</v>
      </c>
      <c r="M459" s="14">
        <v>551.5</v>
      </c>
      <c r="N459" s="14">
        <v>71.0</v>
      </c>
      <c r="O459" s="14">
        <f t="shared" si="2"/>
        <v>480.5</v>
      </c>
      <c r="P459" s="2" t="s">
        <v>2600</v>
      </c>
    </row>
    <row r="460" ht="22.5" customHeight="1">
      <c r="A460" s="2" t="s">
        <v>1794</v>
      </c>
      <c r="B460" s="12">
        <v>46177.0</v>
      </c>
      <c r="C460" s="13" t="str">
        <f t="shared" si="1"/>
        <v>2026-06</v>
      </c>
      <c r="D460" s="12">
        <v>46206.0</v>
      </c>
      <c r="E460" s="12">
        <v>46203.0</v>
      </c>
      <c r="F460" s="2" t="s">
        <v>157</v>
      </c>
      <c r="G460" s="2" t="str">
        <f>VLOOKUP(F460,Tabela_1[#ALL],2,0)</f>
        <v>Mercosul Comércio EPP</v>
      </c>
      <c r="H460" s="2" t="str">
        <f>VLOOKUP(F460,Tabela_1[#ALL],3,0)</f>
        <v>distribuidor</v>
      </c>
      <c r="I460" s="2" t="s">
        <v>49</v>
      </c>
      <c r="J460" s="2">
        <v>2.0</v>
      </c>
      <c r="K460" s="14">
        <v>25383.2</v>
      </c>
      <c r="L460" s="14">
        <v>21290.2</v>
      </c>
      <c r="M460" s="14">
        <v>4093.0</v>
      </c>
      <c r="N460" s="14">
        <v>1921.0</v>
      </c>
      <c r="O460" s="14">
        <f t="shared" si="2"/>
        <v>2172</v>
      </c>
      <c r="P460" s="2" t="s">
        <v>2597</v>
      </c>
    </row>
    <row r="461" ht="22.5" customHeight="1">
      <c r="A461" s="2" t="s">
        <v>1797</v>
      </c>
      <c r="B461" s="12">
        <v>46177.0</v>
      </c>
      <c r="C461" s="13" t="str">
        <f t="shared" si="1"/>
        <v>2026-06</v>
      </c>
      <c r="D461" s="12">
        <v>46196.0</v>
      </c>
      <c r="E461" s="12">
        <v>46196.0</v>
      </c>
      <c r="F461" s="2" t="s">
        <v>169</v>
      </c>
      <c r="G461" s="2" t="str">
        <f>VLOOKUP(F461,Tabela_1[#ALL],2,0)</f>
        <v>Supermercados Vivo EPP</v>
      </c>
      <c r="H461" s="2" t="str">
        <f>VLOOKUP(F461,Tabela_1[#ALL],3,0)</f>
        <v>varejo</v>
      </c>
      <c r="I461" s="2" t="s">
        <v>91</v>
      </c>
      <c r="J461" s="2">
        <v>2.0</v>
      </c>
      <c r="K461" s="14">
        <v>9348.1</v>
      </c>
      <c r="L461" s="14">
        <v>7451.1</v>
      </c>
      <c r="M461" s="14">
        <v>1897.0</v>
      </c>
      <c r="N461" s="14">
        <v>804.0</v>
      </c>
      <c r="O461" s="14">
        <f t="shared" si="2"/>
        <v>1093</v>
      </c>
      <c r="P461" s="2" t="s">
        <v>2597</v>
      </c>
    </row>
    <row r="462" ht="22.5" customHeight="1">
      <c r="A462" s="2" t="s">
        <v>1799</v>
      </c>
      <c r="B462" s="12">
        <v>46177.0</v>
      </c>
      <c r="C462" s="13" t="str">
        <f t="shared" si="1"/>
        <v>2026-06</v>
      </c>
      <c r="D462" s="12">
        <v>46195.0</v>
      </c>
      <c r="E462" s="12">
        <v>46193.0</v>
      </c>
      <c r="F462" s="2" t="s">
        <v>179</v>
      </c>
      <c r="G462" s="2" t="str">
        <f>VLOOKUP(F462,Tabela_1[#ALL],2,0)</f>
        <v>Mercosul Comércio EPP (Joinville)</v>
      </c>
      <c r="H462" s="2" t="str">
        <f>VLOOKUP(F462,Tabela_1[#ALL],3,0)</f>
        <v>distribuidor</v>
      </c>
      <c r="I462" s="2" t="s">
        <v>39</v>
      </c>
      <c r="J462" s="2">
        <v>1.0</v>
      </c>
      <c r="K462" s="14">
        <v>35506.8</v>
      </c>
      <c r="L462" s="14">
        <v>28743.6</v>
      </c>
      <c r="M462" s="14">
        <v>6763.2</v>
      </c>
      <c r="N462" s="14">
        <v>4723.0</v>
      </c>
      <c r="O462" s="14">
        <f t="shared" si="2"/>
        <v>2040.2</v>
      </c>
      <c r="P462" s="2" t="s">
        <v>2597</v>
      </c>
    </row>
    <row r="463" ht="22.5" customHeight="1">
      <c r="A463" s="2" t="s">
        <v>1802</v>
      </c>
      <c r="B463" s="12">
        <v>46177.0</v>
      </c>
      <c r="C463" s="13" t="str">
        <f t="shared" si="1"/>
        <v>2026-06</v>
      </c>
      <c r="D463" s="12">
        <v>46210.0</v>
      </c>
      <c r="E463" s="12">
        <v>46208.0</v>
      </c>
      <c r="F463" s="2" t="s">
        <v>199</v>
      </c>
      <c r="G463" s="2" t="str">
        <f>VLOOKUP(F463,Tabela_1[#ALL],2,0)</f>
        <v>DistribuPlus Ltda</v>
      </c>
      <c r="H463" s="2" t="str">
        <f>VLOOKUP(F463,Tabela_1[#ALL],3,0)</f>
        <v>distribuidor</v>
      </c>
      <c r="I463" s="2" t="s">
        <v>22</v>
      </c>
      <c r="J463" s="2">
        <v>2.0</v>
      </c>
      <c r="K463" s="14">
        <v>35520.8</v>
      </c>
      <c r="L463" s="14">
        <v>31715.0</v>
      </c>
      <c r="M463" s="14">
        <v>3805.8</v>
      </c>
      <c r="N463" s="14">
        <v>1533.0</v>
      </c>
      <c r="O463" s="14">
        <f t="shared" si="2"/>
        <v>2272.8</v>
      </c>
      <c r="P463" s="2" t="s">
        <v>2597</v>
      </c>
    </row>
    <row r="464" ht="22.5" customHeight="1">
      <c r="A464" s="2" t="s">
        <v>1805</v>
      </c>
      <c r="B464" s="12">
        <v>46177.0</v>
      </c>
      <c r="C464" s="13" t="str">
        <f t="shared" si="1"/>
        <v>2026-06</v>
      </c>
      <c r="D464" s="12">
        <v>46199.0</v>
      </c>
      <c r="E464" s="12">
        <v>46197.0</v>
      </c>
      <c r="F464" s="2" t="s">
        <v>227</v>
      </c>
      <c r="G464" s="2" t="str">
        <f>VLOOKUP(F464,Tabela_1[#ALL],2,0)</f>
        <v>Granoma Alimentos Indústria</v>
      </c>
      <c r="H464" s="2" t="str">
        <f>VLOOKUP(F464,Tabela_1[#ALL],3,0)</f>
        <v>alimenticio</v>
      </c>
      <c r="I464" s="2" t="s">
        <v>56</v>
      </c>
      <c r="J464" s="2">
        <v>1.0</v>
      </c>
      <c r="K464" s="14">
        <v>4570.8</v>
      </c>
      <c r="L464" s="14">
        <v>3559.95</v>
      </c>
      <c r="M464" s="14">
        <v>1010.85</v>
      </c>
      <c r="N464" s="14">
        <v>630.0</v>
      </c>
      <c r="O464" s="14">
        <f t="shared" si="2"/>
        <v>380.85</v>
      </c>
      <c r="P464" s="2" t="s">
        <v>2597</v>
      </c>
    </row>
    <row r="465" ht="22.5" customHeight="1">
      <c r="A465" s="2" t="s">
        <v>1808</v>
      </c>
      <c r="B465" s="12">
        <v>46177.0</v>
      </c>
      <c r="C465" s="13" t="str">
        <f t="shared" si="1"/>
        <v>2026-06</v>
      </c>
      <c r="D465" s="12">
        <v>46207.0</v>
      </c>
      <c r="E465" s="12">
        <v>46208.0</v>
      </c>
      <c r="F465" s="2" t="s">
        <v>229</v>
      </c>
      <c r="G465" s="2" t="str">
        <f>VLOOKUP(F465,Tabela_1[#ALL],2,0)</f>
        <v>Sirena Perfumaria S.A.</v>
      </c>
      <c r="H465" s="2" t="str">
        <f>VLOOKUP(F465,Tabela_1[#ALL],3,0)</f>
        <v>cosmetico</v>
      </c>
      <c r="I465" s="2" t="s">
        <v>91</v>
      </c>
      <c r="J465" s="2">
        <v>3.0</v>
      </c>
      <c r="K465" s="14">
        <v>14251.9</v>
      </c>
      <c r="L465" s="14">
        <v>12210.6</v>
      </c>
      <c r="M465" s="14">
        <v>2041.3</v>
      </c>
      <c r="N465" s="14">
        <v>3541.0</v>
      </c>
      <c r="O465" s="14">
        <f t="shared" si="2"/>
        <v>-1499.7</v>
      </c>
      <c r="P465" s="2" t="s">
        <v>2597</v>
      </c>
    </row>
    <row r="466" ht="22.5" customHeight="1">
      <c r="A466" s="2" t="s">
        <v>1812</v>
      </c>
      <c r="B466" s="12">
        <v>46177.0</v>
      </c>
      <c r="C466" s="13" t="str">
        <f t="shared" si="1"/>
        <v>2026-06</v>
      </c>
      <c r="D466" s="12">
        <v>46193.0</v>
      </c>
      <c r="E466" s="12">
        <v>46195.0</v>
      </c>
      <c r="F466" s="2" t="s">
        <v>247</v>
      </c>
      <c r="G466" s="2" t="str">
        <f>VLOOKUP(F466,Tabela_1[#ALL],2,0)</f>
        <v>MedPlus Indústria Cooperativa</v>
      </c>
      <c r="H466" s="2" t="str">
        <f>VLOOKUP(F466,Tabela_1[#ALL],3,0)</f>
        <v>farmaceutico</v>
      </c>
      <c r="I466" s="2" t="s">
        <v>49</v>
      </c>
      <c r="J466" s="2">
        <v>3.0</v>
      </c>
      <c r="K466" s="14">
        <v>5285.0</v>
      </c>
      <c r="L466" s="14">
        <v>4572.1</v>
      </c>
      <c r="M466" s="14">
        <v>712.9</v>
      </c>
      <c r="N466" s="14">
        <v>1809.0</v>
      </c>
      <c r="O466" s="14">
        <f t="shared" si="2"/>
        <v>-1096.1</v>
      </c>
      <c r="P466" s="2" t="s">
        <v>2597</v>
      </c>
    </row>
    <row r="467" ht="22.5" customHeight="1">
      <c r="A467" s="2" t="s">
        <v>1819</v>
      </c>
      <c r="B467" s="12">
        <v>46178.0</v>
      </c>
      <c r="C467" s="13" t="str">
        <f t="shared" si="1"/>
        <v>2026-06</v>
      </c>
      <c r="D467" s="12">
        <v>46194.0</v>
      </c>
      <c r="E467" s="12">
        <v>46195.0</v>
      </c>
      <c r="F467" s="2" t="s">
        <v>10</v>
      </c>
      <c r="G467" s="2" t="str">
        <f>VLOOKUP(F467,Tabela_1[#ALL],2,0)</f>
        <v>AgroMar</v>
      </c>
      <c r="H467" s="2" t="str">
        <f>VLOOKUP(F467,Tabela_1[#ALL],3,0)</f>
        <v>alimenticio</v>
      </c>
      <c r="I467" s="2" t="s">
        <v>16</v>
      </c>
      <c r="J467" s="2">
        <v>1.0</v>
      </c>
      <c r="K467" s="14">
        <v>633458.2</v>
      </c>
      <c r="L467" s="14">
        <v>478956.2</v>
      </c>
      <c r="M467" s="14">
        <v>154502.0</v>
      </c>
      <c r="N467" s="14">
        <v>11817.0</v>
      </c>
      <c r="O467" s="14">
        <f t="shared" si="2"/>
        <v>142685</v>
      </c>
      <c r="P467" s="2" t="s">
        <v>2597</v>
      </c>
    </row>
    <row r="468" ht="22.5" customHeight="1">
      <c r="A468" s="2" t="s">
        <v>1822</v>
      </c>
      <c r="B468" s="12">
        <v>46178.0</v>
      </c>
      <c r="C468" s="13" t="str">
        <f t="shared" si="1"/>
        <v>2026-06</v>
      </c>
      <c r="D468" s="12">
        <v>46204.0</v>
      </c>
      <c r="E468" s="12">
        <v>46205.0</v>
      </c>
      <c r="F468" s="2" t="s">
        <v>23</v>
      </c>
      <c r="G468" s="2" t="str">
        <f>VLOOKUP(F468,Tabela_1[#ALL],2,0)</f>
        <v>Nova Era Cosméticos</v>
      </c>
      <c r="H468" s="2" t="str">
        <f>VLOOKUP(F468,Tabela_1[#ALL],3,0)</f>
        <v>cosmetico</v>
      </c>
      <c r="I468" s="2" t="s">
        <v>22</v>
      </c>
      <c r="J468" s="2">
        <v>3.0</v>
      </c>
      <c r="K468" s="14">
        <v>221469.4</v>
      </c>
      <c r="L468" s="14">
        <v>181259.1</v>
      </c>
      <c r="M468" s="14">
        <v>40210.3</v>
      </c>
      <c r="N468" s="14">
        <v>8324.0</v>
      </c>
      <c r="O468" s="14">
        <f t="shared" si="2"/>
        <v>31886.3</v>
      </c>
      <c r="P468" s="2" t="s">
        <v>2597</v>
      </c>
    </row>
    <row r="469" ht="22.5" customHeight="1">
      <c r="A469" s="2" t="s">
        <v>1832</v>
      </c>
      <c r="B469" s="12">
        <v>46178.0</v>
      </c>
      <c r="C469" s="13" t="str">
        <f t="shared" si="1"/>
        <v>2026-06</v>
      </c>
      <c r="D469" s="12">
        <v>46213.0</v>
      </c>
      <c r="E469" s="12">
        <v>46211.0</v>
      </c>
      <c r="F469" s="2" t="s">
        <v>31</v>
      </c>
      <c r="G469" s="2" t="str">
        <f>VLOOKUP(F469,Tabela_1[#ALL],2,0)</f>
        <v>Distribuidora Sul PR</v>
      </c>
      <c r="H469" s="2" t="str">
        <f>VLOOKUP(F469,Tabela_1[#ALL],3,0)</f>
        <v>distribuidor</v>
      </c>
      <c r="I469" s="2" t="s">
        <v>16</v>
      </c>
      <c r="J469" s="2">
        <v>2.0</v>
      </c>
      <c r="K469" s="14">
        <v>208166.1</v>
      </c>
      <c r="L469" s="14">
        <v>174596.3</v>
      </c>
      <c r="M469" s="14">
        <v>33569.8</v>
      </c>
      <c r="N469" s="14">
        <v>12219.0</v>
      </c>
      <c r="O469" s="14">
        <f t="shared" si="2"/>
        <v>21350.8</v>
      </c>
      <c r="P469" s="2" t="s">
        <v>2597</v>
      </c>
    </row>
    <row r="470" ht="22.5" customHeight="1">
      <c r="A470" s="2" t="s">
        <v>1838</v>
      </c>
      <c r="B470" s="12">
        <v>46178.0</v>
      </c>
      <c r="C470" s="13" t="str">
        <f t="shared" si="1"/>
        <v>2026-06</v>
      </c>
      <c r="D470" s="12">
        <v>46200.0</v>
      </c>
      <c r="E470" s="12">
        <v>46197.0</v>
      </c>
      <c r="F470" s="2" t="s">
        <v>61</v>
      </c>
      <c r="G470" s="2" t="str">
        <f>VLOOKUP(F470,Tabela_1[#ALL],2,0)</f>
        <v>Mercosul Atacado</v>
      </c>
      <c r="H470" s="2" t="str">
        <f>VLOOKUP(F470,Tabela_1[#ALL],3,0)</f>
        <v>distribuidor</v>
      </c>
      <c r="I470" s="2" t="s">
        <v>39</v>
      </c>
      <c r="J470" s="2">
        <v>3.0</v>
      </c>
      <c r="K470" s="14">
        <v>19538.4</v>
      </c>
      <c r="L470" s="14">
        <v>15816.8</v>
      </c>
      <c r="M470" s="14">
        <v>3721.6</v>
      </c>
      <c r="N470" s="14">
        <v>4394.0</v>
      </c>
      <c r="O470" s="14">
        <f t="shared" si="2"/>
        <v>-672.4</v>
      </c>
      <c r="P470" s="2" t="s">
        <v>2597</v>
      </c>
    </row>
    <row r="471" ht="22.5" customHeight="1">
      <c r="A471" s="2" t="s">
        <v>1840</v>
      </c>
      <c r="B471" s="12">
        <v>46178.0</v>
      </c>
      <c r="C471" s="13" t="str">
        <f t="shared" si="1"/>
        <v>2026-06</v>
      </c>
      <c r="D471" s="12">
        <v>46197.0</v>
      </c>
      <c r="E471" s="12">
        <v>46199.0</v>
      </c>
      <c r="F471" s="2" t="s">
        <v>66</v>
      </c>
      <c r="G471" s="2" t="str">
        <f>VLOOKUP(F471,Tabela_1[#ALL],2,0)</f>
        <v>Vale Norte Atacarejo</v>
      </c>
      <c r="H471" s="2" t="str">
        <f>VLOOKUP(F471,Tabela_1[#ALL],3,0)</f>
        <v>varejo</v>
      </c>
      <c r="I471" s="2" t="s">
        <v>22</v>
      </c>
      <c r="J471" s="2">
        <v>1.0</v>
      </c>
      <c r="K471" s="14">
        <v>18226.0</v>
      </c>
      <c r="L471" s="14">
        <v>14300.4</v>
      </c>
      <c r="M471" s="14">
        <v>3925.6</v>
      </c>
      <c r="N471" s="14">
        <v>1387.0</v>
      </c>
      <c r="O471" s="14">
        <f t="shared" si="2"/>
        <v>2538.6</v>
      </c>
      <c r="P471" s="2" t="s">
        <v>2597</v>
      </c>
    </row>
    <row r="472" ht="22.5" customHeight="1">
      <c r="A472" s="2" t="s">
        <v>1842</v>
      </c>
      <c r="B472" s="12">
        <v>46178.0</v>
      </c>
      <c r="C472" s="13" t="str">
        <f t="shared" si="1"/>
        <v>2026-06</v>
      </c>
      <c r="D472" s="12">
        <v>46211.0</v>
      </c>
      <c r="E472" s="12">
        <v>46213.0</v>
      </c>
      <c r="F472" s="2" t="s">
        <v>74</v>
      </c>
      <c r="G472" s="2" t="str">
        <f>VLOOKUP(F472,Tabela_1[#ALL],2,0)</f>
        <v>EnvioFácil</v>
      </c>
      <c r="H472" s="2" t="str">
        <f>VLOOKUP(F472,Tabela_1[#ALL],3,0)</f>
        <v>ecommerce</v>
      </c>
      <c r="I472" s="2" t="s">
        <v>56</v>
      </c>
      <c r="J472" s="2">
        <v>1.0</v>
      </c>
      <c r="K472" s="14">
        <v>5359.2</v>
      </c>
      <c r="L472" s="14">
        <v>4785.0</v>
      </c>
      <c r="M472" s="14">
        <v>574.2</v>
      </c>
      <c r="N472" s="14">
        <v>1293.0</v>
      </c>
      <c r="O472" s="14">
        <f t="shared" si="2"/>
        <v>-718.8</v>
      </c>
      <c r="P472" s="2" t="s">
        <v>2597</v>
      </c>
    </row>
    <row r="473" ht="22.5" customHeight="1">
      <c r="A473" s="2" t="s">
        <v>1844</v>
      </c>
      <c r="B473" s="12">
        <v>46178.0</v>
      </c>
      <c r="C473" s="13" t="str">
        <f t="shared" si="1"/>
        <v>2026-06</v>
      </c>
      <c r="D473" s="12">
        <v>46211.0</v>
      </c>
      <c r="E473" s="12">
        <v>46223.0</v>
      </c>
      <c r="F473" s="2" t="s">
        <v>115</v>
      </c>
      <c r="G473" s="2" t="str">
        <f>VLOOKUP(F473,Tabela_1[#ALL],2,0)</f>
        <v>Comercial Bandeirantes</v>
      </c>
      <c r="H473" s="2" t="str">
        <f>VLOOKUP(F473,Tabela_1[#ALL],3,0)</f>
        <v>distribuidor</v>
      </c>
      <c r="I473" s="2" t="s">
        <v>22</v>
      </c>
      <c r="J473" s="2">
        <v>2.0</v>
      </c>
      <c r="K473" s="14">
        <v>20930.4</v>
      </c>
      <c r="L473" s="14">
        <v>15697.8</v>
      </c>
      <c r="M473" s="14">
        <v>5232.6</v>
      </c>
      <c r="N473" s="14">
        <v>5999.0</v>
      </c>
      <c r="O473" s="14">
        <f t="shared" si="2"/>
        <v>-766.4</v>
      </c>
      <c r="P473" s="2" t="s">
        <v>2599</v>
      </c>
    </row>
    <row r="474" ht="22.5" customHeight="1">
      <c r="A474" s="2" t="s">
        <v>1846</v>
      </c>
      <c r="B474" s="12">
        <v>46178.0</v>
      </c>
      <c r="C474" s="13" t="str">
        <f t="shared" si="1"/>
        <v>2026-06</v>
      </c>
      <c r="D474" s="12">
        <v>46212.0</v>
      </c>
      <c r="E474" s="12">
        <v>46212.0</v>
      </c>
      <c r="F474" s="2" t="s">
        <v>149</v>
      </c>
      <c r="G474" s="2" t="str">
        <f>VLOOKUP(F474,Tabela_1[#ALL],2,0)</f>
        <v>EnviaTudo Comércio</v>
      </c>
      <c r="H474" s="2" t="str">
        <f>VLOOKUP(F474,Tabela_1[#ALL],3,0)</f>
        <v>ecommerce</v>
      </c>
      <c r="I474" s="2" t="s">
        <v>91</v>
      </c>
      <c r="J474" s="2">
        <v>3.0</v>
      </c>
      <c r="K474" s="14">
        <v>22294.7</v>
      </c>
      <c r="L474" s="14">
        <v>18482.3</v>
      </c>
      <c r="M474" s="14">
        <v>3812.4</v>
      </c>
      <c r="N474" s="14">
        <v>3546.0</v>
      </c>
      <c r="O474" s="14">
        <f t="shared" si="2"/>
        <v>266.4</v>
      </c>
      <c r="P474" s="2" t="s">
        <v>2597</v>
      </c>
    </row>
    <row r="475" ht="22.5" customHeight="1">
      <c r="A475" s="2" t="s">
        <v>1849</v>
      </c>
      <c r="B475" s="12">
        <v>46178.0</v>
      </c>
      <c r="C475" s="13" t="str">
        <f t="shared" si="1"/>
        <v>2026-06</v>
      </c>
      <c r="D475" s="12">
        <v>46209.0</v>
      </c>
      <c r="E475" s="12">
        <v>46208.0</v>
      </c>
      <c r="F475" s="2" t="s">
        <v>183</v>
      </c>
      <c r="G475" s="2" t="str">
        <f>VLOOKUP(F475,Tabela_1[#ALL],2,0)</f>
        <v>Distrib. Litoral Sul S.A.</v>
      </c>
      <c r="H475" s="2" t="str">
        <f>VLOOKUP(F475,Tabela_1[#ALL],3,0)</f>
        <v>distribuidor</v>
      </c>
      <c r="I475" s="2" t="s">
        <v>39</v>
      </c>
      <c r="J475" s="2">
        <v>1.0</v>
      </c>
      <c r="K475" s="14">
        <v>46972.8</v>
      </c>
      <c r="L475" s="14">
        <v>38025.6</v>
      </c>
      <c r="M475" s="14">
        <v>8947.2</v>
      </c>
      <c r="N475" s="14">
        <v>1962.0</v>
      </c>
      <c r="O475" s="14">
        <f t="shared" si="2"/>
        <v>6985.2</v>
      </c>
      <c r="P475" s="2" t="s">
        <v>2597</v>
      </c>
    </row>
    <row r="476" ht="22.5" customHeight="1">
      <c r="A476" s="2" t="s">
        <v>1852</v>
      </c>
      <c r="B476" s="12">
        <v>46178.0</v>
      </c>
      <c r="C476" s="13" t="str">
        <f t="shared" si="1"/>
        <v>2026-06</v>
      </c>
      <c r="D476" s="12">
        <v>46199.0</v>
      </c>
      <c r="E476" s="12">
        <v>46196.0</v>
      </c>
      <c r="F476" s="2" t="s">
        <v>197</v>
      </c>
      <c r="G476" s="2" t="str">
        <f>VLOOKUP(F476,Tabela_1[#ALL],2,0)</f>
        <v>Sabor Forte Alimentos Indústria</v>
      </c>
      <c r="H476" s="2" t="str">
        <f>VLOOKUP(F476,Tabela_1[#ALL],3,0)</f>
        <v>alimenticio</v>
      </c>
      <c r="I476" s="2" t="s">
        <v>49</v>
      </c>
      <c r="J476" s="2">
        <v>3.0</v>
      </c>
      <c r="K476" s="14">
        <v>8190.0</v>
      </c>
      <c r="L476" s="14">
        <v>6789.5</v>
      </c>
      <c r="M476" s="14">
        <v>1400.5</v>
      </c>
      <c r="N476" s="14">
        <v>1789.0</v>
      </c>
      <c r="O476" s="14">
        <f t="shared" si="2"/>
        <v>-388.5</v>
      </c>
      <c r="P476" s="2" t="s">
        <v>2597</v>
      </c>
    </row>
    <row r="477" ht="22.5" customHeight="1">
      <c r="A477" s="2" t="s">
        <v>1854</v>
      </c>
      <c r="B477" s="12">
        <v>46178.0</v>
      </c>
      <c r="C477" s="13" t="str">
        <f t="shared" si="1"/>
        <v>2026-06</v>
      </c>
      <c r="D477" s="12">
        <v>46201.0</v>
      </c>
      <c r="E477" s="12">
        <v>46202.0</v>
      </c>
      <c r="F477" s="2" t="s">
        <v>255</v>
      </c>
      <c r="G477" s="2" t="str">
        <f>VLOOKUP(F477,Tabela_1[#ALL],2,0)</f>
        <v>Lumen Beauty EPP (Apucarana)</v>
      </c>
      <c r="H477" s="2" t="str">
        <f>VLOOKUP(F477,Tabela_1[#ALL],3,0)</f>
        <v>cosmetico</v>
      </c>
      <c r="I477" s="2" t="s">
        <v>39</v>
      </c>
      <c r="J477" s="2">
        <v>3.0</v>
      </c>
      <c r="K477" s="14">
        <v>32936.4</v>
      </c>
      <c r="L477" s="14">
        <v>26304.6</v>
      </c>
      <c r="M477" s="14">
        <v>6631.8</v>
      </c>
      <c r="N477" s="14">
        <v>3700.0</v>
      </c>
      <c r="O477" s="14">
        <f t="shared" si="2"/>
        <v>2931.8</v>
      </c>
      <c r="P477" s="2" t="s">
        <v>2597</v>
      </c>
    </row>
    <row r="478" ht="22.5" customHeight="1">
      <c r="A478" s="2" t="s">
        <v>1859</v>
      </c>
      <c r="B478" s="12">
        <v>46179.0</v>
      </c>
      <c r="C478" s="13" t="str">
        <f t="shared" si="1"/>
        <v>2026-06</v>
      </c>
      <c r="D478" s="12">
        <v>46206.0</v>
      </c>
      <c r="F478" s="2" t="s">
        <v>23</v>
      </c>
      <c r="G478" s="2" t="str">
        <f>VLOOKUP(F478,Tabela_1[#ALL],2,0)</f>
        <v>Nova Era Cosméticos</v>
      </c>
      <c r="H478" s="2" t="str">
        <f>VLOOKUP(F478,Tabela_1[#ALL],3,0)</f>
        <v>cosmetico</v>
      </c>
      <c r="I478" s="2" t="s">
        <v>22</v>
      </c>
      <c r="J478" s="2">
        <v>1.0</v>
      </c>
      <c r="K478" s="14">
        <v>115065.6</v>
      </c>
      <c r="L478" s="14">
        <v>89618.4</v>
      </c>
      <c r="M478" s="14">
        <v>25447.2</v>
      </c>
      <c r="N478" s="14">
        <v>7053.0</v>
      </c>
      <c r="O478" s="14">
        <f t="shared" si="2"/>
        <v>18394.2</v>
      </c>
      <c r="P478" s="2" t="s">
        <v>2601</v>
      </c>
    </row>
    <row r="479" ht="22.5" customHeight="1">
      <c r="A479" s="2" t="s">
        <v>1863</v>
      </c>
      <c r="B479" s="12">
        <v>46179.0</v>
      </c>
      <c r="C479" s="13" t="str">
        <f t="shared" si="1"/>
        <v>2026-06</v>
      </c>
      <c r="D479" s="12">
        <v>46205.0</v>
      </c>
      <c r="E479" s="12">
        <v>46206.0</v>
      </c>
      <c r="F479" s="2" t="s">
        <v>57</v>
      </c>
      <c r="G479" s="2" t="str">
        <f>VLOOKUP(F479,Tabela_1[#ALL],2,0)</f>
        <v>Distribuidora Oeste</v>
      </c>
      <c r="H479" s="2" t="str">
        <f>VLOOKUP(F479,Tabela_1[#ALL],3,0)</f>
        <v>distribuidor</v>
      </c>
      <c r="I479" s="2" t="s">
        <v>39</v>
      </c>
      <c r="J479" s="2">
        <v>1.0</v>
      </c>
      <c r="K479" s="14">
        <v>14109.2</v>
      </c>
      <c r="L479" s="14">
        <v>12597.5</v>
      </c>
      <c r="M479" s="14">
        <v>1511.7</v>
      </c>
      <c r="N479" s="14">
        <v>197.0</v>
      </c>
      <c r="O479" s="14">
        <f t="shared" si="2"/>
        <v>1314.7</v>
      </c>
      <c r="P479" s="2" t="s">
        <v>2597</v>
      </c>
    </row>
    <row r="480" ht="22.5" customHeight="1">
      <c r="A480" s="2" t="s">
        <v>1867</v>
      </c>
      <c r="B480" s="12">
        <v>46179.0</v>
      </c>
      <c r="C480" s="13" t="str">
        <f t="shared" si="1"/>
        <v>2026-06</v>
      </c>
      <c r="D480" s="12">
        <v>46197.0</v>
      </c>
      <c r="E480" s="12">
        <v>46196.0</v>
      </c>
      <c r="F480" s="2" t="s">
        <v>74</v>
      </c>
      <c r="G480" s="2" t="str">
        <f>VLOOKUP(F480,Tabela_1[#ALL],2,0)</f>
        <v>EnvioFácil</v>
      </c>
      <c r="H480" s="2" t="str">
        <f>VLOOKUP(F480,Tabela_1[#ALL],3,0)</f>
        <v>ecommerce</v>
      </c>
      <c r="I480" s="2" t="s">
        <v>56</v>
      </c>
      <c r="J480" s="2">
        <v>1.0</v>
      </c>
      <c r="K480" s="14">
        <v>27090.0</v>
      </c>
      <c r="L480" s="14">
        <v>24187.5</v>
      </c>
      <c r="M480" s="14">
        <v>2902.5</v>
      </c>
      <c r="N480" s="14">
        <v>1665.0</v>
      </c>
      <c r="O480" s="14">
        <f t="shared" si="2"/>
        <v>1237.5</v>
      </c>
      <c r="P480" s="2" t="s">
        <v>2597</v>
      </c>
    </row>
    <row r="481" ht="22.5" customHeight="1">
      <c r="A481" s="2" t="s">
        <v>1869</v>
      </c>
      <c r="B481" s="12">
        <v>46179.0</v>
      </c>
      <c r="C481" s="13" t="str">
        <f t="shared" si="1"/>
        <v>2026-06</v>
      </c>
      <c r="D481" s="12">
        <v>46201.0</v>
      </c>
      <c r="E481" s="12">
        <v>46198.0</v>
      </c>
      <c r="F481" s="2" t="s">
        <v>136</v>
      </c>
      <c r="G481" s="2" t="str">
        <f>VLOOKUP(F481,Tabela_1[#ALL],2,0)</f>
        <v>Varejo Familiar Ltda</v>
      </c>
      <c r="H481" s="2" t="str">
        <f>VLOOKUP(F481,Tabela_1[#ALL],3,0)</f>
        <v>varejo</v>
      </c>
      <c r="I481" s="2" t="s">
        <v>49</v>
      </c>
      <c r="J481" s="2">
        <v>3.0</v>
      </c>
      <c r="K481" s="14">
        <v>13948.2</v>
      </c>
      <c r="L481" s="14">
        <v>12066.3</v>
      </c>
      <c r="M481" s="14">
        <v>1881.9</v>
      </c>
      <c r="N481" s="14">
        <v>399.0</v>
      </c>
      <c r="O481" s="14">
        <f t="shared" si="2"/>
        <v>1482.9</v>
      </c>
      <c r="P481" s="2" t="s">
        <v>2597</v>
      </c>
    </row>
    <row r="482" ht="22.5" customHeight="1">
      <c r="A482" s="2" t="s">
        <v>1871</v>
      </c>
      <c r="B482" s="12">
        <v>46179.0</v>
      </c>
      <c r="C482" s="13" t="str">
        <f t="shared" si="1"/>
        <v>2026-06</v>
      </c>
      <c r="D482" s="12">
        <v>46200.0</v>
      </c>
      <c r="F482" s="2" t="s">
        <v>149</v>
      </c>
      <c r="G482" s="2" t="str">
        <f>VLOOKUP(F482,Tabela_1[#ALL],2,0)</f>
        <v>EnviaTudo Comércio</v>
      </c>
      <c r="H482" s="2" t="str">
        <f>VLOOKUP(F482,Tabela_1[#ALL],3,0)</f>
        <v>ecommerce</v>
      </c>
      <c r="I482" s="2" t="s">
        <v>91</v>
      </c>
      <c r="J482" s="2">
        <v>2.0</v>
      </c>
      <c r="K482" s="14">
        <v>20789.9</v>
      </c>
      <c r="L482" s="14">
        <v>17437.4</v>
      </c>
      <c r="M482" s="14">
        <v>3352.5</v>
      </c>
      <c r="N482" s="14">
        <v>2989.0</v>
      </c>
      <c r="O482" s="14">
        <f t="shared" si="2"/>
        <v>363.5</v>
      </c>
      <c r="P482" s="2" t="s">
        <v>2598</v>
      </c>
    </row>
    <row r="483" ht="22.5" customHeight="1">
      <c r="A483" s="2" t="s">
        <v>1875</v>
      </c>
      <c r="B483" s="12">
        <v>46179.0</v>
      </c>
      <c r="C483" s="13" t="str">
        <f t="shared" si="1"/>
        <v>2026-06</v>
      </c>
      <c r="D483" s="12">
        <v>46206.0</v>
      </c>
      <c r="F483" s="2" t="s">
        <v>187</v>
      </c>
      <c r="G483" s="2" t="str">
        <f>VLOOKUP(F483,Tabela_1[#ALL],2,0)</f>
        <v>Granoma Alimentos EPP</v>
      </c>
      <c r="H483" s="2" t="str">
        <f>VLOOKUP(F483,Tabela_1[#ALL],3,0)</f>
        <v>alimenticio</v>
      </c>
      <c r="I483" s="2" t="s">
        <v>22</v>
      </c>
      <c r="J483" s="2">
        <v>1.0</v>
      </c>
      <c r="K483" s="14">
        <v>5280.8</v>
      </c>
      <c r="L483" s="14">
        <v>4715.0</v>
      </c>
      <c r="M483" s="14">
        <v>565.8</v>
      </c>
      <c r="N483" s="14">
        <v>1377.0</v>
      </c>
      <c r="O483" s="14">
        <f t="shared" si="2"/>
        <v>-811.2</v>
      </c>
      <c r="P483" s="2" t="s">
        <v>2600</v>
      </c>
    </row>
    <row r="484" ht="22.5" customHeight="1">
      <c r="A484" s="2" t="s">
        <v>1877</v>
      </c>
      <c r="B484" s="12">
        <v>46179.0</v>
      </c>
      <c r="C484" s="13" t="str">
        <f t="shared" si="1"/>
        <v>2026-06</v>
      </c>
      <c r="D484" s="12">
        <v>46197.0</v>
      </c>
      <c r="E484" s="12">
        <v>46196.0</v>
      </c>
      <c r="F484" s="2" t="s">
        <v>187</v>
      </c>
      <c r="G484" s="2" t="str">
        <f>VLOOKUP(F484,Tabela_1[#ALL],2,0)</f>
        <v>Granoma Alimentos EPP</v>
      </c>
      <c r="H484" s="2" t="str">
        <f>VLOOKUP(F484,Tabela_1[#ALL],3,0)</f>
        <v>alimenticio</v>
      </c>
      <c r="I484" s="2" t="s">
        <v>22</v>
      </c>
      <c r="J484" s="2">
        <v>3.0</v>
      </c>
      <c r="K484" s="14">
        <v>19028.8</v>
      </c>
      <c r="L484" s="14">
        <v>16461.5</v>
      </c>
      <c r="M484" s="14">
        <v>2567.3</v>
      </c>
      <c r="N484" s="14">
        <v>1248.0</v>
      </c>
      <c r="O484" s="14">
        <f t="shared" si="2"/>
        <v>1319.3</v>
      </c>
      <c r="P484" s="2" t="s">
        <v>2597</v>
      </c>
    </row>
    <row r="485" ht="22.5" customHeight="1">
      <c r="A485" s="2" t="s">
        <v>1880</v>
      </c>
      <c r="B485" s="12">
        <v>46179.0</v>
      </c>
      <c r="C485" s="13" t="str">
        <f t="shared" si="1"/>
        <v>2026-06</v>
      </c>
      <c r="D485" s="12">
        <v>46213.0</v>
      </c>
      <c r="E485" s="12">
        <v>46211.0</v>
      </c>
      <c r="F485" s="2" t="s">
        <v>197</v>
      </c>
      <c r="G485" s="2" t="str">
        <f>VLOOKUP(F485,Tabela_1[#ALL],2,0)</f>
        <v>Sabor Forte Alimentos Indústria</v>
      </c>
      <c r="H485" s="2" t="str">
        <f>VLOOKUP(F485,Tabela_1[#ALL],3,0)</f>
        <v>alimenticio</v>
      </c>
      <c r="I485" s="2" t="s">
        <v>49</v>
      </c>
      <c r="J485" s="2">
        <v>2.0</v>
      </c>
      <c r="K485" s="14">
        <v>4854.9</v>
      </c>
      <c r="L485" s="14">
        <v>4072.3</v>
      </c>
      <c r="M485" s="14">
        <v>782.6</v>
      </c>
      <c r="N485" s="14">
        <v>2026.0</v>
      </c>
      <c r="O485" s="14">
        <f t="shared" si="2"/>
        <v>-1243.4</v>
      </c>
      <c r="P485" s="2" t="s">
        <v>2597</v>
      </c>
    </row>
    <row r="486" ht="22.5" customHeight="1">
      <c r="A486" s="2" t="s">
        <v>1881</v>
      </c>
      <c r="B486" s="12">
        <v>46179.0</v>
      </c>
      <c r="C486" s="13" t="str">
        <f t="shared" si="1"/>
        <v>2026-06</v>
      </c>
      <c r="D486" s="12">
        <v>46196.0</v>
      </c>
      <c r="E486" s="12">
        <v>46196.0</v>
      </c>
      <c r="F486" s="2" t="s">
        <v>217</v>
      </c>
      <c r="G486" s="2" t="str">
        <f>VLOOKUP(F486,Tabela_1[#ALL],2,0)</f>
        <v>Cherie Cosméticos Ltda</v>
      </c>
      <c r="H486" s="2" t="str">
        <f>VLOOKUP(F486,Tabela_1[#ALL],3,0)</f>
        <v>cosmetico</v>
      </c>
      <c r="I486" s="2" t="s">
        <v>56</v>
      </c>
      <c r="J486" s="2">
        <v>2.0</v>
      </c>
      <c r="K486" s="14">
        <v>4543.0</v>
      </c>
      <c r="L486" s="14">
        <v>3866.9</v>
      </c>
      <c r="M486" s="14">
        <v>676.1</v>
      </c>
      <c r="N486" s="14">
        <v>2685.0</v>
      </c>
      <c r="O486" s="14">
        <f t="shared" si="2"/>
        <v>-2008.9</v>
      </c>
      <c r="P486" s="2" t="s">
        <v>2597</v>
      </c>
    </row>
    <row r="487" ht="22.5" customHeight="1">
      <c r="A487" s="2" t="s">
        <v>1885</v>
      </c>
      <c r="B487" s="12">
        <v>46179.0</v>
      </c>
      <c r="C487" s="13" t="str">
        <f t="shared" si="1"/>
        <v>2026-06</v>
      </c>
      <c r="D487" s="12">
        <v>46205.0</v>
      </c>
      <c r="E487" s="12">
        <v>46203.0</v>
      </c>
      <c r="F487" s="2" t="s">
        <v>231</v>
      </c>
      <c r="G487" s="2" t="str">
        <f>VLOOKUP(F487,Tabela_1[#ALL],2,0)</f>
        <v>Indústria Caraíbas ME</v>
      </c>
      <c r="H487" s="2" t="str">
        <f>VLOOKUP(F487,Tabela_1[#ALL],3,0)</f>
        <v>alimenticio</v>
      </c>
      <c r="I487" s="2" t="s">
        <v>39</v>
      </c>
      <c r="J487" s="2">
        <v>2.0</v>
      </c>
      <c r="K487" s="14">
        <v>29325.0</v>
      </c>
      <c r="L487" s="14">
        <v>24581.25</v>
      </c>
      <c r="M487" s="14">
        <v>4743.75</v>
      </c>
      <c r="N487" s="14">
        <v>264.0</v>
      </c>
      <c r="O487" s="14">
        <f t="shared" si="2"/>
        <v>4479.75</v>
      </c>
      <c r="P487" s="2" t="s">
        <v>2597</v>
      </c>
    </row>
    <row r="488" ht="22.5" customHeight="1">
      <c r="A488" s="2" t="s">
        <v>1891</v>
      </c>
      <c r="B488" s="12">
        <v>46179.0</v>
      </c>
      <c r="C488" s="13" t="str">
        <f t="shared" si="1"/>
        <v>2026-06</v>
      </c>
      <c r="D488" s="12">
        <v>46194.0</v>
      </c>
      <c r="E488" s="12">
        <v>46195.0</v>
      </c>
      <c r="F488" s="2" t="s">
        <v>243</v>
      </c>
      <c r="G488" s="2" t="str">
        <f>VLOOKUP(F488,Tabela_1[#ALL],2,0)</f>
        <v>RotaFácil Comércio</v>
      </c>
      <c r="H488" s="2" t="str">
        <f>VLOOKUP(F488,Tabela_1[#ALL],3,0)</f>
        <v>ecommerce</v>
      </c>
      <c r="I488" s="2" t="s">
        <v>22</v>
      </c>
      <c r="J488" s="2">
        <v>2.0</v>
      </c>
      <c r="K488" s="14">
        <v>1738.8</v>
      </c>
      <c r="L488" s="14">
        <v>1552.5</v>
      </c>
      <c r="M488" s="14">
        <v>186.3</v>
      </c>
      <c r="N488" s="14">
        <v>548.0</v>
      </c>
      <c r="O488" s="14">
        <f t="shared" si="2"/>
        <v>-361.7</v>
      </c>
      <c r="P488" s="2" t="s">
        <v>2597</v>
      </c>
    </row>
    <row r="489" ht="22.5" customHeight="1">
      <c r="A489" s="2" t="s">
        <v>1895</v>
      </c>
      <c r="B489" s="12">
        <v>46180.0</v>
      </c>
      <c r="C489" s="13" t="str">
        <f t="shared" si="1"/>
        <v>2026-06</v>
      </c>
      <c r="D489" s="12">
        <v>46202.0</v>
      </c>
      <c r="E489" s="12">
        <v>46200.0</v>
      </c>
      <c r="F489" s="2" t="s">
        <v>19</v>
      </c>
      <c r="G489" s="2" t="str">
        <f>VLOOKUP(F489,Tabela_1[#ALL],2,0)</f>
        <v>NorteAgro</v>
      </c>
      <c r="H489" s="2" t="str">
        <f>VLOOKUP(F489,Tabela_1[#ALL],3,0)</f>
        <v>alimenticio</v>
      </c>
      <c r="I489" s="2" t="s">
        <v>22</v>
      </c>
      <c r="J489" s="2">
        <v>1.0</v>
      </c>
      <c r="K489" s="14">
        <v>180268.8</v>
      </c>
      <c r="L489" s="14">
        <v>136300.8</v>
      </c>
      <c r="M489" s="14">
        <v>43968.0</v>
      </c>
      <c r="N489" s="14">
        <v>6978.0</v>
      </c>
      <c r="O489" s="14">
        <f t="shared" si="2"/>
        <v>36990</v>
      </c>
      <c r="P489" s="2" t="s">
        <v>2597</v>
      </c>
    </row>
    <row r="490" ht="22.5" customHeight="1">
      <c r="A490" s="2" t="s">
        <v>1898</v>
      </c>
      <c r="B490" s="12">
        <v>46180.0</v>
      </c>
      <c r="C490" s="13" t="str">
        <f t="shared" si="1"/>
        <v>2026-06</v>
      </c>
      <c r="D490" s="12">
        <v>46200.0</v>
      </c>
      <c r="E490" s="12">
        <v>46201.0</v>
      </c>
      <c r="F490" s="2" t="s">
        <v>28</v>
      </c>
      <c r="G490" s="2" t="str">
        <f>VLOOKUP(F490,Tabela_1[#ALL],2,0)</f>
        <v>CoopFrigo</v>
      </c>
      <c r="H490" s="2" t="str">
        <f>VLOOKUP(F490,Tabela_1[#ALL],3,0)</f>
        <v>alimenticio</v>
      </c>
      <c r="I490" s="2" t="s">
        <v>16</v>
      </c>
      <c r="J490" s="2">
        <v>3.0</v>
      </c>
      <c r="K490" s="14">
        <v>115704.1</v>
      </c>
      <c r="L490" s="14">
        <v>91743.9</v>
      </c>
      <c r="M490" s="14">
        <v>23960.2</v>
      </c>
      <c r="N490" s="14">
        <v>1808.0</v>
      </c>
      <c r="O490" s="14">
        <f t="shared" si="2"/>
        <v>22152.2</v>
      </c>
      <c r="P490" s="2" t="s">
        <v>2597</v>
      </c>
    </row>
    <row r="491" ht="22.5" customHeight="1">
      <c r="A491" s="2" t="s">
        <v>1904</v>
      </c>
      <c r="B491" s="12">
        <v>46180.0</v>
      </c>
      <c r="C491" s="13" t="str">
        <f t="shared" si="1"/>
        <v>2026-06</v>
      </c>
      <c r="D491" s="12">
        <v>46200.0</v>
      </c>
      <c r="E491" s="12">
        <v>46202.0</v>
      </c>
      <c r="F491" s="2" t="s">
        <v>101</v>
      </c>
      <c r="G491" s="2" t="str">
        <f>VLOOKUP(F491,Tabela_1[#ALL],2,0)</f>
        <v>Vivê Beauty</v>
      </c>
      <c r="H491" s="2" t="str">
        <f>VLOOKUP(F491,Tabela_1[#ALL],3,0)</f>
        <v>cosmetico</v>
      </c>
      <c r="I491" s="2" t="s">
        <v>91</v>
      </c>
      <c r="J491" s="2">
        <v>3.0</v>
      </c>
      <c r="K491" s="14">
        <v>1971.1</v>
      </c>
      <c r="L491" s="14">
        <v>1579.3</v>
      </c>
      <c r="M491" s="14">
        <v>391.8</v>
      </c>
      <c r="N491" s="14">
        <v>1187.0</v>
      </c>
      <c r="O491" s="14">
        <f t="shared" si="2"/>
        <v>-795.2</v>
      </c>
      <c r="P491" s="2" t="s">
        <v>2597</v>
      </c>
    </row>
    <row r="492" ht="22.5" customHeight="1">
      <c r="A492" s="2" t="s">
        <v>1912</v>
      </c>
      <c r="B492" s="12">
        <v>46180.0</v>
      </c>
      <c r="C492" s="13" t="str">
        <f t="shared" si="1"/>
        <v>2026-06</v>
      </c>
      <c r="D492" s="12">
        <v>46206.0</v>
      </c>
      <c r="E492" s="12">
        <v>46206.0</v>
      </c>
      <c r="F492" s="2" t="s">
        <v>108</v>
      </c>
      <c r="G492" s="2" t="str">
        <f>VLOOKUP(F492,Tabela_1[#ALL],2,0)</f>
        <v>Ciência da Vida Farma</v>
      </c>
      <c r="H492" s="2" t="str">
        <f>VLOOKUP(F492,Tabela_1[#ALL],3,0)</f>
        <v>farmaceutico</v>
      </c>
      <c r="I492" s="2" t="s">
        <v>91</v>
      </c>
      <c r="J492" s="2">
        <v>2.0</v>
      </c>
      <c r="K492" s="14">
        <v>4939.6</v>
      </c>
      <c r="L492" s="14">
        <v>3937.2</v>
      </c>
      <c r="M492" s="14">
        <v>1002.4</v>
      </c>
      <c r="N492" s="14">
        <v>1260.0</v>
      </c>
      <c r="O492" s="14">
        <f t="shared" si="2"/>
        <v>-257.6</v>
      </c>
      <c r="P492" s="2" t="s">
        <v>2597</v>
      </c>
    </row>
    <row r="493" ht="22.5" customHeight="1">
      <c r="A493" s="2" t="s">
        <v>1914</v>
      </c>
      <c r="B493" s="12">
        <v>46180.0</v>
      </c>
      <c r="C493" s="13" t="str">
        <f t="shared" si="1"/>
        <v>2026-06</v>
      </c>
      <c r="D493" s="12">
        <v>46206.0</v>
      </c>
      <c r="E493" s="12">
        <v>46206.0</v>
      </c>
      <c r="F493" s="2" t="s">
        <v>136</v>
      </c>
      <c r="G493" s="2" t="str">
        <f>VLOOKUP(F493,Tabela_1[#ALL],2,0)</f>
        <v>Varejo Familiar Ltda</v>
      </c>
      <c r="H493" s="2" t="str">
        <f>VLOOKUP(F493,Tabela_1[#ALL],3,0)</f>
        <v>varejo</v>
      </c>
      <c r="I493" s="2" t="s">
        <v>49</v>
      </c>
      <c r="J493" s="2">
        <v>1.0</v>
      </c>
      <c r="K493" s="14">
        <v>10438.4</v>
      </c>
      <c r="L493" s="14">
        <v>9320.0</v>
      </c>
      <c r="M493" s="14">
        <v>1118.4</v>
      </c>
      <c r="N493" s="14">
        <v>362.0</v>
      </c>
      <c r="O493" s="14">
        <f t="shared" si="2"/>
        <v>756.4</v>
      </c>
      <c r="P493" s="2" t="s">
        <v>2597</v>
      </c>
    </row>
    <row r="494" ht="22.5" customHeight="1">
      <c r="A494" s="2" t="s">
        <v>1917</v>
      </c>
      <c r="B494" s="12">
        <v>46180.0</v>
      </c>
      <c r="C494" s="13" t="str">
        <f t="shared" si="1"/>
        <v>2026-06</v>
      </c>
      <c r="D494" s="12">
        <v>46211.0</v>
      </c>
      <c r="E494" s="12">
        <v>46209.0</v>
      </c>
      <c r="F494" s="2" t="s">
        <v>223</v>
      </c>
      <c r="G494" s="2" t="str">
        <f>VLOOKUP(F494,Tabela_1[#ALL],2,0)</f>
        <v>Mercosul Comércio S.A.</v>
      </c>
      <c r="H494" s="2" t="str">
        <f>VLOOKUP(F494,Tabela_1[#ALL],3,0)</f>
        <v>distribuidor</v>
      </c>
      <c r="I494" s="2" t="s">
        <v>91</v>
      </c>
      <c r="J494" s="2">
        <v>1.0</v>
      </c>
      <c r="K494" s="14">
        <v>15878.8</v>
      </c>
      <c r="L494" s="14">
        <v>14177.5</v>
      </c>
      <c r="M494" s="14">
        <v>1701.3</v>
      </c>
      <c r="N494" s="14">
        <v>456.0</v>
      </c>
      <c r="O494" s="14">
        <f t="shared" si="2"/>
        <v>1245.3</v>
      </c>
      <c r="P494" s="2" t="s">
        <v>2597</v>
      </c>
    </row>
    <row r="495" ht="22.5" customHeight="1">
      <c r="A495" s="2" t="s">
        <v>1921</v>
      </c>
      <c r="B495" s="12">
        <v>46180.0</v>
      </c>
      <c r="C495" s="13" t="str">
        <f t="shared" si="1"/>
        <v>2026-06</v>
      </c>
      <c r="D495" s="12">
        <v>46212.0</v>
      </c>
      <c r="E495" s="12">
        <v>46210.0</v>
      </c>
      <c r="F495" s="2" t="s">
        <v>225</v>
      </c>
      <c r="G495" s="2" t="str">
        <f>VLOOKUP(F495,Tabela_1[#ALL],2,0)</f>
        <v>Laticínios Boa Vista EPP</v>
      </c>
      <c r="H495" s="2" t="str">
        <f>VLOOKUP(F495,Tabela_1[#ALL],3,0)</f>
        <v>alimenticio</v>
      </c>
      <c r="I495" s="2" t="s">
        <v>49</v>
      </c>
      <c r="J495" s="2">
        <v>3.0</v>
      </c>
      <c r="K495" s="14">
        <v>40587.1</v>
      </c>
      <c r="L495" s="14">
        <v>32519.3</v>
      </c>
      <c r="M495" s="14">
        <v>8067.8</v>
      </c>
      <c r="N495" s="14">
        <v>1199.0</v>
      </c>
      <c r="O495" s="14">
        <f t="shared" si="2"/>
        <v>6868.8</v>
      </c>
      <c r="P495" s="2" t="s">
        <v>2597</v>
      </c>
    </row>
    <row r="496" ht="22.5" customHeight="1">
      <c r="A496" s="2" t="s">
        <v>1928</v>
      </c>
      <c r="B496" s="12">
        <v>46181.0</v>
      </c>
      <c r="C496" s="13" t="str">
        <f t="shared" si="1"/>
        <v>2026-06</v>
      </c>
      <c r="D496" s="12">
        <v>46212.0</v>
      </c>
      <c r="E496" s="12">
        <v>46209.0</v>
      </c>
      <c r="F496" s="2" t="s">
        <v>23</v>
      </c>
      <c r="G496" s="2" t="str">
        <f>VLOOKUP(F496,Tabela_1[#ALL],2,0)</f>
        <v>Nova Era Cosméticos</v>
      </c>
      <c r="H496" s="2" t="str">
        <f>VLOOKUP(F496,Tabela_1[#ALL],3,0)</f>
        <v>cosmetico</v>
      </c>
      <c r="I496" s="2" t="s">
        <v>22</v>
      </c>
      <c r="J496" s="2">
        <v>3.0</v>
      </c>
      <c r="K496" s="14">
        <v>141320.8</v>
      </c>
      <c r="L496" s="14">
        <v>115662.45</v>
      </c>
      <c r="M496" s="14">
        <v>25658.35</v>
      </c>
      <c r="N496" s="14">
        <v>5215.0</v>
      </c>
      <c r="O496" s="14">
        <f t="shared" si="2"/>
        <v>20443.35</v>
      </c>
      <c r="P496" s="2" t="s">
        <v>2597</v>
      </c>
    </row>
    <row r="497" ht="22.5" customHeight="1">
      <c r="A497" s="2" t="s">
        <v>1934</v>
      </c>
      <c r="B497" s="12">
        <v>46181.0</v>
      </c>
      <c r="C497" s="13" t="str">
        <f t="shared" si="1"/>
        <v>2026-06</v>
      </c>
      <c r="D497" s="12">
        <v>46200.0</v>
      </c>
      <c r="E497" s="12">
        <v>46199.0</v>
      </c>
      <c r="F497" s="2" t="s">
        <v>40</v>
      </c>
      <c r="G497" s="2" t="str">
        <f>VLOOKUP(F497,Tabela_1[#ALL],2,0)</f>
        <v>Farmavida</v>
      </c>
      <c r="H497" s="2" t="str">
        <f>VLOOKUP(F497,Tabela_1[#ALL],3,0)</f>
        <v>farmaceutico</v>
      </c>
      <c r="I497" s="2" t="s">
        <v>43</v>
      </c>
      <c r="J497" s="2">
        <v>1.0</v>
      </c>
      <c r="K497" s="14">
        <v>129910.6</v>
      </c>
      <c r="L497" s="14">
        <v>108895.65</v>
      </c>
      <c r="M497" s="14">
        <v>21014.95</v>
      </c>
      <c r="N497" s="14">
        <v>8423.0</v>
      </c>
      <c r="O497" s="14">
        <f t="shared" si="2"/>
        <v>12591.95</v>
      </c>
      <c r="P497" s="2" t="s">
        <v>2597</v>
      </c>
    </row>
    <row r="498" ht="22.5" customHeight="1">
      <c r="A498" s="2" t="s">
        <v>1938</v>
      </c>
      <c r="B498" s="12">
        <v>46181.0</v>
      </c>
      <c r="C498" s="13" t="str">
        <f t="shared" si="1"/>
        <v>2026-06</v>
      </c>
      <c r="D498" s="12">
        <v>46196.0</v>
      </c>
      <c r="F498" s="2" t="s">
        <v>106</v>
      </c>
      <c r="G498" s="2" t="str">
        <f>VLOOKUP(F498,Tabela_1[#ALL],2,0)</f>
        <v>DistribuPlus</v>
      </c>
      <c r="H498" s="2" t="str">
        <f>VLOOKUP(F498,Tabela_1[#ALL],3,0)</f>
        <v>distribuidor</v>
      </c>
      <c r="I498" s="2" t="s">
        <v>22</v>
      </c>
      <c r="J498" s="2">
        <v>1.0</v>
      </c>
      <c r="K498" s="14">
        <v>7215.0</v>
      </c>
      <c r="L498" s="14">
        <v>5661.0</v>
      </c>
      <c r="M498" s="14">
        <v>1554.0</v>
      </c>
      <c r="N498" s="14">
        <v>2238.0</v>
      </c>
      <c r="O498" s="14">
        <f t="shared" si="2"/>
        <v>-684</v>
      </c>
      <c r="P498" s="2" t="s">
        <v>2601</v>
      </c>
    </row>
    <row r="499" ht="22.5" customHeight="1">
      <c r="A499" s="2" t="s">
        <v>1939</v>
      </c>
      <c r="B499" s="12">
        <v>46181.0</v>
      </c>
      <c r="C499" s="13" t="str">
        <f t="shared" si="1"/>
        <v>2026-06</v>
      </c>
      <c r="D499" s="12">
        <v>46201.0</v>
      </c>
      <c r="E499" s="12">
        <v>46201.0</v>
      </c>
      <c r="F499" s="2" t="s">
        <v>124</v>
      </c>
      <c r="G499" s="2" t="str">
        <f>VLOOKUP(F499,Tabela_1[#ALL],2,0)</f>
        <v>Mercatto Indústria</v>
      </c>
      <c r="H499" s="2" t="str">
        <f>VLOOKUP(F499,Tabela_1[#ALL],3,0)</f>
        <v>varejo</v>
      </c>
      <c r="I499" s="2" t="s">
        <v>49</v>
      </c>
      <c r="J499" s="2">
        <v>2.0</v>
      </c>
      <c r="K499" s="14">
        <v>15197.0</v>
      </c>
      <c r="L499" s="14">
        <v>11923.8</v>
      </c>
      <c r="M499" s="14">
        <v>3273.2</v>
      </c>
      <c r="N499" s="14">
        <v>1683.0</v>
      </c>
      <c r="O499" s="14">
        <f t="shared" si="2"/>
        <v>1590.2</v>
      </c>
      <c r="P499" s="2" t="s">
        <v>2597</v>
      </c>
    </row>
    <row r="500" ht="22.5" customHeight="1">
      <c r="A500" s="2" t="s">
        <v>1941</v>
      </c>
      <c r="B500" s="12">
        <v>46181.0</v>
      </c>
      <c r="C500" s="13" t="str">
        <f t="shared" si="1"/>
        <v>2026-06</v>
      </c>
      <c r="D500" s="12">
        <v>46211.0</v>
      </c>
      <c r="E500" s="12">
        <v>46209.0</v>
      </c>
      <c r="F500" s="2" t="s">
        <v>159</v>
      </c>
      <c r="G500" s="2" t="str">
        <f>VLOOKUP(F500,Tabela_1[#ALL],2,0)</f>
        <v>Biolatina Indústria EPP</v>
      </c>
      <c r="H500" s="2" t="str">
        <f>VLOOKUP(F500,Tabela_1[#ALL],3,0)</f>
        <v>farmaceutico</v>
      </c>
      <c r="I500" s="2" t="s">
        <v>39</v>
      </c>
      <c r="J500" s="2">
        <v>3.0</v>
      </c>
      <c r="K500" s="14">
        <v>14908.5</v>
      </c>
      <c r="L500" s="14">
        <v>12235.4</v>
      </c>
      <c r="M500" s="14">
        <v>2673.1</v>
      </c>
      <c r="N500" s="14">
        <v>527.0</v>
      </c>
      <c r="O500" s="14">
        <f t="shared" si="2"/>
        <v>2146.1</v>
      </c>
      <c r="P500" s="2" t="s">
        <v>2597</v>
      </c>
    </row>
    <row r="501" ht="22.5" customHeight="1">
      <c r="A501" s="2" t="s">
        <v>1943</v>
      </c>
      <c r="B501" s="12">
        <v>46181.0</v>
      </c>
      <c r="C501" s="13" t="str">
        <f t="shared" si="1"/>
        <v>2026-06</v>
      </c>
      <c r="D501" s="12">
        <v>46206.0</v>
      </c>
      <c r="E501" s="12">
        <v>46207.0</v>
      </c>
      <c r="F501" s="2" t="s">
        <v>159</v>
      </c>
      <c r="G501" s="2" t="str">
        <f>VLOOKUP(F501,Tabela_1[#ALL],2,0)</f>
        <v>Biolatina Indústria EPP</v>
      </c>
      <c r="H501" s="2" t="str">
        <f>VLOOKUP(F501,Tabela_1[#ALL],3,0)</f>
        <v>farmaceutico</v>
      </c>
      <c r="I501" s="2" t="s">
        <v>39</v>
      </c>
      <c r="J501" s="2">
        <v>3.0</v>
      </c>
      <c r="K501" s="14">
        <v>17649.8</v>
      </c>
      <c r="L501" s="14">
        <v>15268.4</v>
      </c>
      <c r="M501" s="14">
        <v>2381.4</v>
      </c>
      <c r="N501" s="14">
        <v>580.0</v>
      </c>
      <c r="O501" s="14">
        <f t="shared" si="2"/>
        <v>1801.4</v>
      </c>
      <c r="P501" s="2" t="s">
        <v>2597</v>
      </c>
    </row>
    <row r="502" ht="22.5" customHeight="1">
      <c r="A502" s="2" t="s">
        <v>1946</v>
      </c>
      <c r="B502" s="12">
        <v>46181.0</v>
      </c>
      <c r="C502" s="13" t="str">
        <f t="shared" si="1"/>
        <v>2026-06</v>
      </c>
      <c r="D502" s="12">
        <v>46198.0</v>
      </c>
      <c r="E502" s="12">
        <v>46199.0</v>
      </c>
      <c r="F502" s="2" t="s">
        <v>171</v>
      </c>
      <c r="G502" s="2" t="str">
        <f>VLOOKUP(F502,Tabela_1[#ALL],2,0)</f>
        <v>Solene Cosméticos Ltda</v>
      </c>
      <c r="H502" s="2" t="str">
        <f>VLOOKUP(F502,Tabela_1[#ALL],3,0)</f>
        <v>cosmetico</v>
      </c>
      <c r="I502" s="2" t="s">
        <v>56</v>
      </c>
      <c r="J502" s="2">
        <v>2.0</v>
      </c>
      <c r="K502" s="14">
        <v>11320.4</v>
      </c>
      <c r="L502" s="14">
        <v>8816.85</v>
      </c>
      <c r="M502" s="14">
        <v>2503.55</v>
      </c>
      <c r="N502" s="14">
        <v>4547.0</v>
      </c>
      <c r="O502" s="14">
        <f t="shared" si="2"/>
        <v>-2043.45</v>
      </c>
      <c r="P502" s="2" t="s">
        <v>2597</v>
      </c>
    </row>
    <row r="503" ht="22.5" customHeight="1">
      <c r="A503" s="2" t="s">
        <v>1950</v>
      </c>
      <c r="B503" s="12">
        <v>46181.0</v>
      </c>
      <c r="C503" s="13" t="str">
        <f t="shared" si="1"/>
        <v>2026-06</v>
      </c>
      <c r="D503" s="12">
        <v>46197.0</v>
      </c>
      <c r="E503" s="12">
        <v>46196.0</v>
      </c>
      <c r="F503" s="2" t="s">
        <v>229</v>
      </c>
      <c r="G503" s="2" t="str">
        <f>VLOOKUP(F503,Tabela_1[#ALL],2,0)</f>
        <v>Sirena Perfumaria S.A.</v>
      </c>
      <c r="H503" s="2" t="str">
        <f>VLOOKUP(F503,Tabela_1[#ALL],3,0)</f>
        <v>cosmetico</v>
      </c>
      <c r="I503" s="2" t="s">
        <v>91</v>
      </c>
      <c r="J503" s="2">
        <v>1.0</v>
      </c>
      <c r="K503" s="14">
        <v>6437.2</v>
      </c>
      <c r="L503" s="14">
        <v>5747.5</v>
      </c>
      <c r="M503" s="14">
        <v>689.7</v>
      </c>
      <c r="N503" s="14">
        <v>3372.0</v>
      </c>
      <c r="O503" s="14">
        <f t="shared" si="2"/>
        <v>-2682.3</v>
      </c>
      <c r="P503" s="2" t="s">
        <v>2597</v>
      </c>
    </row>
    <row r="504" ht="22.5" customHeight="1">
      <c r="A504" s="2" t="s">
        <v>1952</v>
      </c>
      <c r="B504" s="12">
        <v>46182.0</v>
      </c>
      <c r="C504" s="13" t="str">
        <f t="shared" si="1"/>
        <v>2026-06</v>
      </c>
      <c r="D504" s="12">
        <v>46205.0</v>
      </c>
      <c r="F504" s="2" t="s">
        <v>45</v>
      </c>
      <c r="G504" s="2" t="str">
        <f>VLOOKUP(F504,Tabela_1[#ALL],2,0)</f>
        <v>Bell Beauty</v>
      </c>
      <c r="H504" s="2" t="str">
        <f>VLOOKUP(F504,Tabela_1[#ALL],3,0)</f>
        <v>cosmetico</v>
      </c>
      <c r="I504" s="2" t="s">
        <v>49</v>
      </c>
      <c r="J504" s="2">
        <v>1.0</v>
      </c>
      <c r="K504" s="14">
        <v>48846.0</v>
      </c>
      <c r="L504" s="14">
        <v>38379.0</v>
      </c>
      <c r="M504" s="14">
        <v>10467.0</v>
      </c>
      <c r="N504" s="14">
        <v>9572.0</v>
      </c>
      <c r="O504" s="14">
        <f t="shared" si="2"/>
        <v>895</v>
      </c>
      <c r="P504" s="2" t="s">
        <v>2601</v>
      </c>
    </row>
    <row r="505" ht="22.5" customHeight="1">
      <c r="A505" s="2" t="s">
        <v>1953</v>
      </c>
      <c r="B505" s="12">
        <v>46182.0</v>
      </c>
      <c r="C505" s="13" t="str">
        <f t="shared" si="1"/>
        <v>2026-06</v>
      </c>
      <c r="D505" s="12">
        <v>46207.0</v>
      </c>
      <c r="E505" s="12">
        <v>46204.0</v>
      </c>
      <c r="F505" s="2" t="s">
        <v>45</v>
      </c>
      <c r="G505" s="2" t="str">
        <f>VLOOKUP(F505,Tabela_1[#ALL],2,0)</f>
        <v>Bell Beauty</v>
      </c>
      <c r="H505" s="2" t="str">
        <f>VLOOKUP(F505,Tabela_1[#ALL],3,0)</f>
        <v>cosmetico</v>
      </c>
      <c r="I505" s="2" t="s">
        <v>49</v>
      </c>
      <c r="J505" s="2">
        <v>2.0</v>
      </c>
      <c r="K505" s="14">
        <v>115170.6</v>
      </c>
      <c r="L505" s="14">
        <v>93120.15</v>
      </c>
      <c r="M505" s="14">
        <v>22050.45</v>
      </c>
      <c r="N505" s="14">
        <v>14524.0</v>
      </c>
      <c r="O505" s="14">
        <f t="shared" si="2"/>
        <v>7526.45</v>
      </c>
      <c r="P505" s="2" t="s">
        <v>2597</v>
      </c>
    </row>
    <row r="506" ht="22.5" customHeight="1">
      <c r="A506" s="2" t="s">
        <v>1960</v>
      </c>
      <c r="B506" s="12">
        <v>46182.0</v>
      </c>
      <c r="C506" s="13" t="str">
        <f t="shared" si="1"/>
        <v>2026-06</v>
      </c>
      <c r="D506" s="12">
        <v>46211.0</v>
      </c>
      <c r="E506" s="12">
        <v>46211.0</v>
      </c>
      <c r="F506" s="2" t="s">
        <v>103</v>
      </c>
      <c r="G506" s="2" t="str">
        <f>VLOOKUP(F506,Tabela_1[#ALL],2,0)</f>
        <v>Sabor da Terra</v>
      </c>
      <c r="H506" s="2" t="str">
        <f>VLOOKUP(F506,Tabela_1[#ALL],3,0)</f>
        <v>alimenticio</v>
      </c>
      <c r="I506" s="2" t="s">
        <v>91</v>
      </c>
      <c r="J506" s="2">
        <v>1.0</v>
      </c>
      <c r="K506" s="14">
        <v>22512.0</v>
      </c>
      <c r="L506" s="14">
        <v>18224.0</v>
      </c>
      <c r="M506" s="14">
        <v>4288.0</v>
      </c>
      <c r="N506" s="14">
        <v>2093.0</v>
      </c>
      <c r="O506" s="14">
        <f t="shared" si="2"/>
        <v>2195</v>
      </c>
      <c r="P506" s="2" t="s">
        <v>2597</v>
      </c>
    </row>
    <row r="507" ht="22.5" customHeight="1">
      <c r="A507" s="2" t="s">
        <v>1961</v>
      </c>
      <c r="B507" s="12">
        <v>46182.0</v>
      </c>
      <c r="C507" s="13" t="str">
        <f t="shared" si="1"/>
        <v>2026-06</v>
      </c>
      <c r="D507" s="12">
        <v>46215.0</v>
      </c>
      <c r="F507" s="2" t="s">
        <v>113</v>
      </c>
      <c r="G507" s="2" t="str">
        <f>VLOOKUP(F507,Tabela_1[#ALL],2,0)</f>
        <v>Sabor Forte Alimentos</v>
      </c>
      <c r="H507" s="2" t="str">
        <f>VLOOKUP(F507,Tabela_1[#ALL],3,0)</f>
        <v>alimenticio</v>
      </c>
      <c r="I507" s="2" t="s">
        <v>39</v>
      </c>
      <c r="J507" s="2">
        <v>3.0</v>
      </c>
      <c r="K507" s="14">
        <v>18102.8</v>
      </c>
      <c r="L507" s="14">
        <v>15510.3</v>
      </c>
      <c r="M507" s="14">
        <v>2592.5</v>
      </c>
      <c r="N507" s="14">
        <v>2847.0</v>
      </c>
      <c r="O507" s="14">
        <f t="shared" si="2"/>
        <v>-254.5</v>
      </c>
      <c r="P507" s="2" t="s">
        <v>2598</v>
      </c>
    </row>
    <row r="508" ht="22.5" customHeight="1">
      <c r="A508" s="2" t="s">
        <v>1964</v>
      </c>
      <c r="B508" s="12">
        <v>46182.0</v>
      </c>
      <c r="C508" s="13" t="str">
        <f t="shared" si="1"/>
        <v>2026-06</v>
      </c>
      <c r="D508" s="12">
        <v>46210.0</v>
      </c>
      <c r="E508" s="12">
        <v>46211.0</v>
      </c>
      <c r="F508" s="2" t="s">
        <v>119</v>
      </c>
      <c r="G508" s="2" t="str">
        <f>VLOOKUP(F508,Tabela_1[#ALL],2,0)</f>
        <v>Coopercana ME</v>
      </c>
      <c r="H508" s="2" t="str">
        <f>VLOOKUP(F508,Tabela_1[#ALL],3,0)</f>
        <v>alimenticio</v>
      </c>
      <c r="I508" s="2" t="s">
        <v>56</v>
      </c>
      <c r="J508" s="2">
        <v>2.0</v>
      </c>
      <c r="K508" s="14">
        <v>5636.4</v>
      </c>
      <c r="L508" s="14">
        <v>4562.8</v>
      </c>
      <c r="M508" s="14">
        <v>1073.6</v>
      </c>
      <c r="N508" s="14">
        <v>3911.0</v>
      </c>
      <c r="O508" s="14">
        <f t="shared" si="2"/>
        <v>-2837.4</v>
      </c>
      <c r="P508" s="2" t="s">
        <v>2597</v>
      </c>
    </row>
    <row r="509" ht="22.5" customHeight="1">
      <c r="A509" s="2" t="s">
        <v>1966</v>
      </c>
      <c r="B509" s="12">
        <v>46182.0</v>
      </c>
      <c r="C509" s="13" t="str">
        <f t="shared" si="1"/>
        <v>2026-06</v>
      </c>
      <c r="D509" s="12">
        <v>46205.0</v>
      </c>
      <c r="E509" s="12">
        <v>46206.0</v>
      </c>
      <c r="F509" s="2" t="s">
        <v>124</v>
      </c>
      <c r="G509" s="2" t="str">
        <f>VLOOKUP(F509,Tabela_1[#ALL],2,0)</f>
        <v>Mercatto Indústria</v>
      </c>
      <c r="H509" s="2" t="str">
        <f>VLOOKUP(F509,Tabela_1[#ALL],3,0)</f>
        <v>varejo</v>
      </c>
      <c r="I509" s="2" t="s">
        <v>49</v>
      </c>
      <c r="J509" s="2">
        <v>3.0</v>
      </c>
      <c r="K509" s="14">
        <v>6943.8</v>
      </c>
      <c r="L509" s="14">
        <v>5756.5</v>
      </c>
      <c r="M509" s="14">
        <v>1187.3</v>
      </c>
      <c r="N509" s="14">
        <v>1906.0</v>
      </c>
      <c r="O509" s="14">
        <f t="shared" si="2"/>
        <v>-718.7</v>
      </c>
      <c r="P509" s="2" t="s">
        <v>2597</v>
      </c>
    </row>
    <row r="510" ht="22.5" customHeight="1">
      <c r="A510" s="2" t="s">
        <v>1972</v>
      </c>
      <c r="B510" s="12">
        <v>46182.0</v>
      </c>
      <c r="C510" s="13" t="str">
        <f t="shared" si="1"/>
        <v>2026-06</v>
      </c>
      <c r="D510" s="12">
        <v>46215.0</v>
      </c>
      <c r="E510" s="12">
        <v>46213.0</v>
      </c>
      <c r="F510" s="2" t="s">
        <v>155</v>
      </c>
      <c r="G510" s="2" t="str">
        <f>VLOOKUP(F510,Tabela_1[#ALL],2,0)</f>
        <v>Nutrigrão ME</v>
      </c>
      <c r="H510" s="2" t="str">
        <f>VLOOKUP(F510,Tabela_1[#ALL],3,0)</f>
        <v>alimenticio</v>
      </c>
      <c r="I510" s="2" t="s">
        <v>39</v>
      </c>
      <c r="J510" s="2">
        <v>2.0</v>
      </c>
      <c r="K510" s="14">
        <v>22397.2</v>
      </c>
      <c r="L510" s="14">
        <v>19064.4</v>
      </c>
      <c r="M510" s="14">
        <v>3332.8</v>
      </c>
      <c r="N510" s="14">
        <v>340.0</v>
      </c>
      <c r="O510" s="14">
        <f t="shared" si="2"/>
        <v>2992.8</v>
      </c>
      <c r="P510" s="2" t="s">
        <v>2597</v>
      </c>
    </row>
    <row r="511" ht="22.5" customHeight="1">
      <c r="A511" s="2" t="s">
        <v>1974</v>
      </c>
      <c r="B511" s="12">
        <v>46182.0</v>
      </c>
      <c r="C511" s="13" t="str">
        <f t="shared" si="1"/>
        <v>2026-06</v>
      </c>
      <c r="D511" s="12">
        <v>46216.0</v>
      </c>
      <c r="E511" s="12">
        <v>46217.0</v>
      </c>
      <c r="F511" s="2" t="s">
        <v>187</v>
      </c>
      <c r="G511" s="2" t="str">
        <f>VLOOKUP(F511,Tabela_1[#ALL],2,0)</f>
        <v>Granoma Alimentos EPP</v>
      </c>
      <c r="H511" s="2" t="str">
        <f>VLOOKUP(F511,Tabela_1[#ALL],3,0)</f>
        <v>alimenticio</v>
      </c>
      <c r="I511" s="2" t="s">
        <v>22</v>
      </c>
      <c r="J511" s="2">
        <v>3.0</v>
      </c>
      <c r="K511" s="14">
        <v>17040.8</v>
      </c>
      <c r="L511" s="14">
        <v>15215.0</v>
      </c>
      <c r="M511" s="14">
        <v>1825.8</v>
      </c>
      <c r="N511" s="14">
        <v>1418.0</v>
      </c>
      <c r="O511" s="14">
        <f t="shared" si="2"/>
        <v>407.8</v>
      </c>
      <c r="P511" s="2" t="s">
        <v>2597</v>
      </c>
    </row>
    <row r="512" ht="22.5" customHeight="1">
      <c r="A512" s="2" t="s">
        <v>1977</v>
      </c>
      <c r="B512" s="12">
        <v>46182.0</v>
      </c>
      <c r="C512" s="13" t="str">
        <f t="shared" si="1"/>
        <v>2026-06</v>
      </c>
      <c r="D512" s="12">
        <v>46207.0</v>
      </c>
      <c r="E512" s="12">
        <v>46218.0</v>
      </c>
      <c r="F512" s="2" t="s">
        <v>211</v>
      </c>
      <c r="G512" s="2" t="str">
        <f>VLOOKUP(F512,Tabela_1[#ALL],2,0)</f>
        <v>PackExpress S.A.</v>
      </c>
      <c r="H512" s="2" t="str">
        <f>VLOOKUP(F512,Tabela_1[#ALL],3,0)</f>
        <v>ecommerce</v>
      </c>
      <c r="I512" s="2" t="s">
        <v>91</v>
      </c>
      <c r="J512" s="2">
        <v>3.0</v>
      </c>
      <c r="K512" s="14">
        <v>13006.0</v>
      </c>
      <c r="L512" s="14">
        <v>11612.5</v>
      </c>
      <c r="M512" s="14">
        <v>1393.5</v>
      </c>
      <c r="N512" s="14">
        <v>940.0</v>
      </c>
      <c r="O512" s="14">
        <f t="shared" si="2"/>
        <v>453.5</v>
      </c>
      <c r="P512" s="2" t="s">
        <v>2599</v>
      </c>
    </row>
    <row r="513" ht="22.5" customHeight="1">
      <c r="A513" s="2" t="s">
        <v>1980</v>
      </c>
      <c r="B513" s="12">
        <v>46182.0</v>
      </c>
      <c r="C513" s="13" t="str">
        <f t="shared" si="1"/>
        <v>2026-06</v>
      </c>
      <c r="D513" s="12">
        <v>46210.0</v>
      </c>
      <c r="F513" s="2" t="s">
        <v>219</v>
      </c>
      <c r="G513" s="2" t="str">
        <f>VLOOKUP(F513,Tabela_1[#ALL],2,0)</f>
        <v>Tradição Alimentos Comércio</v>
      </c>
      <c r="H513" s="2" t="str">
        <f>VLOOKUP(F513,Tabela_1[#ALL],3,0)</f>
        <v>alimenticio</v>
      </c>
      <c r="I513" s="2" t="s">
        <v>56</v>
      </c>
      <c r="J513" s="2">
        <v>3.0</v>
      </c>
      <c r="K513" s="14">
        <v>22636.6</v>
      </c>
      <c r="L513" s="14">
        <v>19582.3</v>
      </c>
      <c r="M513" s="14">
        <v>3054.3</v>
      </c>
      <c r="N513" s="14">
        <v>58.0</v>
      </c>
      <c r="O513" s="14">
        <f t="shared" si="2"/>
        <v>2996.3</v>
      </c>
      <c r="P513" s="2" t="s">
        <v>2598</v>
      </c>
    </row>
    <row r="514" ht="22.5" customHeight="1">
      <c r="A514" s="2" t="s">
        <v>1983</v>
      </c>
      <c r="B514" s="12">
        <v>46182.0</v>
      </c>
      <c r="C514" s="13" t="str">
        <f t="shared" si="1"/>
        <v>2026-06</v>
      </c>
      <c r="D514" s="12">
        <v>46206.0</v>
      </c>
      <c r="E514" s="12">
        <v>46207.0</v>
      </c>
      <c r="F514" s="2" t="s">
        <v>233</v>
      </c>
      <c r="G514" s="2" t="str">
        <f>VLOOKUP(F514,Tabela_1[#ALL],2,0)</f>
        <v>Doce Vale Comércio</v>
      </c>
      <c r="H514" s="2" t="str">
        <f>VLOOKUP(F514,Tabela_1[#ALL],3,0)</f>
        <v>alimenticio</v>
      </c>
      <c r="I514" s="2" t="s">
        <v>49</v>
      </c>
      <c r="J514" s="2">
        <v>3.0</v>
      </c>
      <c r="K514" s="14">
        <v>4190.5</v>
      </c>
      <c r="L514" s="14">
        <v>3357.5</v>
      </c>
      <c r="M514" s="14">
        <v>833.0</v>
      </c>
      <c r="N514" s="14">
        <v>2037.0</v>
      </c>
      <c r="O514" s="14">
        <f t="shared" si="2"/>
        <v>-1204</v>
      </c>
      <c r="P514" s="2" t="s">
        <v>2597</v>
      </c>
    </row>
    <row r="515" ht="22.5" customHeight="1">
      <c r="A515" s="2" t="s">
        <v>1992</v>
      </c>
      <c r="B515" s="12">
        <v>46182.0</v>
      </c>
      <c r="C515" s="13" t="str">
        <f t="shared" si="1"/>
        <v>2026-06</v>
      </c>
      <c r="D515" s="12">
        <v>46217.0</v>
      </c>
      <c r="E515" s="12">
        <v>46217.0</v>
      </c>
      <c r="F515" s="2" t="s">
        <v>245</v>
      </c>
      <c r="G515" s="2" t="str">
        <f>VLOOKUP(F515,Tabela_1[#ALL],2,0)</f>
        <v>Laticínios Boa Vista ME</v>
      </c>
      <c r="H515" s="2" t="str">
        <f>VLOOKUP(F515,Tabela_1[#ALL],3,0)</f>
        <v>alimenticio</v>
      </c>
      <c r="I515" s="2" t="s">
        <v>22</v>
      </c>
      <c r="J515" s="2">
        <v>2.0</v>
      </c>
      <c r="K515" s="14">
        <v>10410.6</v>
      </c>
      <c r="L515" s="14">
        <v>8417.4</v>
      </c>
      <c r="M515" s="14">
        <v>1993.2</v>
      </c>
      <c r="N515" s="14">
        <v>2014.0</v>
      </c>
      <c r="O515" s="14">
        <f t="shared" si="2"/>
        <v>-20.8</v>
      </c>
      <c r="P515" s="2" t="s">
        <v>2597</v>
      </c>
    </row>
    <row r="516" ht="22.5" customHeight="1">
      <c r="A516" s="2" t="s">
        <v>1996</v>
      </c>
      <c r="B516" s="12">
        <v>46182.0</v>
      </c>
      <c r="C516" s="13" t="str">
        <f t="shared" si="1"/>
        <v>2026-06</v>
      </c>
      <c r="D516" s="12">
        <v>46210.0</v>
      </c>
      <c r="E516" s="12">
        <v>46209.0</v>
      </c>
      <c r="F516" s="2" t="s">
        <v>247</v>
      </c>
      <c r="G516" s="2" t="str">
        <f>VLOOKUP(F516,Tabela_1[#ALL],2,0)</f>
        <v>MedPlus Indústria Cooperativa</v>
      </c>
      <c r="H516" s="2" t="str">
        <f>VLOOKUP(F516,Tabela_1[#ALL],3,0)</f>
        <v>farmaceutico</v>
      </c>
      <c r="I516" s="2" t="s">
        <v>49</v>
      </c>
      <c r="J516" s="2">
        <v>1.0</v>
      </c>
      <c r="K516" s="14">
        <v>3158.4</v>
      </c>
      <c r="L516" s="14">
        <v>2820.0</v>
      </c>
      <c r="M516" s="14">
        <v>338.4</v>
      </c>
      <c r="N516" s="14">
        <v>1948.0</v>
      </c>
      <c r="O516" s="14">
        <f t="shared" si="2"/>
        <v>-1609.6</v>
      </c>
      <c r="P516" s="2" t="s">
        <v>2597</v>
      </c>
    </row>
    <row r="517" ht="22.5" customHeight="1">
      <c r="A517" s="2" t="s">
        <v>1998</v>
      </c>
      <c r="B517" s="12">
        <v>46183.0</v>
      </c>
      <c r="C517" s="13" t="str">
        <f t="shared" si="1"/>
        <v>2026-06</v>
      </c>
      <c r="D517" s="12">
        <v>46207.0</v>
      </c>
      <c r="E517" s="12">
        <v>46205.0</v>
      </c>
      <c r="F517" s="2" t="s">
        <v>28</v>
      </c>
      <c r="G517" s="2" t="str">
        <f>VLOOKUP(F517,Tabela_1[#ALL],2,0)</f>
        <v>CoopFrigo</v>
      </c>
      <c r="H517" s="2" t="str">
        <f>VLOOKUP(F517,Tabela_1[#ALL],3,0)</f>
        <v>alimenticio</v>
      </c>
      <c r="I517" s="2" t="s">
        <v>16</v>
      </c>
      <c r="J517" s="2">
        <v>3.0</v>
      </c>
      <c r="K517" s="14">
        <v>167792.8</v>
      </c>
      <c r="L517" s="14">
        <v>140493.1</v>
      </c>
      <c r="M517" s="14">
        <v>27299.7</v>
      </c>
      <c r="N517" s="14">
        <v>1419.0</v>
      </c>
      <c r="O517" s="14">
        <f t="shared" si="2"/>
        <v>25880.7</v>
      </c>
      <c r="P517" s="2" t="s">
        <v>2597</v>
      </c>
    </row>
    <row r="518" ht="22.5" customHeight="1">
      <c r="A518" s="2" t="s">
        <v>2003</v>
      </c>
      <c r="B518" s="12">
        <v>46183.0</v>
      </c>
      <c r="C518" s="13" t="str">
        <f t="shared" si="1"/>
        <v>2026-06</v>
      </c>
      <c r="D518" s="12">
        <v>46207.0</v>
      </c>
      <c r="E518" s="12">
        <v>46209.0</v>
      </c>
      <c r="F518" s="2" t="s">
        <v>35</v>
      </c>
      <c r="G518" s="2" t="str">
        <f>VLOOKUP(F518,Tabela_1[#ALL],2,0)</f>
        <v>CoopVale</v>
      </c>
      <c r="H518" s="2" t="str">
        <f>VLOOKUP(F518,Tabela_1[#ALL],3,0)</f>
        <v>alimenticio</v>
      </c>
      <c r="I518" s="2" t="s">
        <v>39</v>
      </c>
      <c r="J518" s="2">
        <v>3.0</v>
      </c>
      <c r="K518" s="14">
        <v>79643.2</v>
      </c>
      <c r="L518" s="14">
        <v>66685.3</v>
      </c>
      <c r="M518" s="14">
        <v>12957.9</v>
      </c>
      <c r="N518" s="14">
        <v>564.0</v>
      </c>
      <c r="O518" s="14">
        <f t="shared" si="2"/>
        <v>12393.9</v>
      </c>
      <c r="P518" s="2" t="s">
        <v>2597</v>
      </c>
    </row>
    <row r="519" ht="22.5" customHeight="1">
      <c r="A519" s="2" t="s">
        <v>2008</v>
      </c>
      <c r="B519" s="12">
        <v>46183.0</v>
      </c>
      <c r="C519" s="13" t="str">
        <f t="shared" si="1"/>
        <v>2026-06</v>
      </c>
      <c r="D519" s="12">
        <v>46210.0</v>
      </c>
      <c r="E519" s="12">
        <v>46207.0</v>
      </c>
      <c r="F519" s="2" t="s">
        <v>40</v>
      </c>
      <c r="G519" s="2" t="str">
        <f>VLOOKUP(F519,Tabela_1[#ALL],2,0)</f>
        <v>Farmavida</v>
      </c>
      <c r="H519" s="2" t="str">
        <f>VLOOKUP(F519,Tabela_1[#ALL],3,0)</f>
        <v>farmaceutico</v>
      </c>
      <c r="I519" s="2" t="s">
        <v>43</v>
      </c>
      <c r="J519" s="2">
        <v>3.0</v>
      </c>
      <c r="K519" s="14">
        <v>115507.4</v>
      </c>
      <c r="L519" s="14">
        <v>94535.85</v>
      </c>
      <c r="M519" s="14">
        <v>20971.55</v>
      </c>
      <c r="N519" s="14">
        <v>8728.0</v>
      </c>
      <c r="O519" s="14">
        <f t="shared" si="2"/>
        <v>12243.55</v>
      </c>
      <c r="P519" s="2" t="s">
        <v>2597</v>
      </c>
    </row>
    <row r="520" ht="22.5" customHeight="1">
      <c r="A520" s="2" t="s">
        <v>2015</v>
      </c>
      <c r="B520" s="12">
        <v>46183.0</v>
      </c>
      <c r="C520" s="13" t="str">
        <f t="shared" si="1"/>
        <v>2026-06</v>
      </c>
      <c r="D520" s="12">
        <v>46210.0</v>
      </c>
      <c r="E520" s="12">
        <v>46214.0</v>
      </c>
      <c r="F520" s="2" t="s">
        <v>51</v>
      </c>
      <c r="G520" s="2" t="str">
        <f>VLOOKUP(F520,Tabela_1[#ALL],2,0)</f>
        <v>LogiPack</v>
      </c>
      <c r="H520" s="2" t="str">
        <f>VLOOKUP(F520,Tabela_1[#ALL],3,0)</f>
        <v>logistica</v>
      </c>
      <c r="I520" s="2" t="s">
        <v>56</v>
      </c>
      <c r="J520" s="2">
        <v>1.0</v>
      </c>
      <c r="K520" s="14">
        <v>51416.4</v>
      </c>
      <c r="L520" s="14">
        <v>41622.8</v>
      </c>
      <c r="M520" s="14">
        <v>9793.6</v>
      </c>
      <c r="N520" s="14">
        <v>1371.0</v>
      </c>
      <c r="O520" s="14">
        <f t="shared" si="2"/>
        <v>8422.6</v>
      </c>
      <c r="P520" s="2" t="s">
        <v>2599</v>
      </c>
    </row>
    <row r="521" ht="22.5" customHeight="1">
      <c r="A521" s="2" t="s">
        <v>2018</v>
      </c>
      <c r="B521" s="12">
        <v>46183.0</v>
      </c>
      <c r="C521" s="13" t="str">
        <f t="shared" si="1"/>
        <v>2026-06</v>
      </c>
      <c r="D521" s="12">
        <v>46203.0</v>
      </c>
      <c r="E521" s="12">
        <v>46202.0</v>
      </c>
      <c r="F521" s="2" t="s">
        <v>88</v>
      </c>
      <c r="G521" s="2" t="str">
        <f>VLOOKUP(F521,Tabela_1[#ALL],2,0)</f>
        <v>Atacadão Centro Oeste</v>
      </c>
      <c r="H521" s="2" t="str">
        <f>VLOOKUP(F521,Tabela_1[#ALL],3,0)</f>
        <v>distribuidor</v>
      </c>
      <c r="I521" s="2" t="s">
        <v>91</v>
      </c>
      <c r="J521" s="2">
        <v>1.0</v>
      </c>
      <c r="K521" s="14">
        <v>4768.4</v>
      </c>
      <c r="L521" s="14">
        <v>4257.5</v>
      </c>
      <c r="M521" s="14">
        <v>510.9</v>
      </c>
      <c r="N521" s="14">
        <v>491.0</v>
      </c>
      <c r="O521" s="14">
        <f t="shared" si="2"/>
        <v>19.9</v>
      </c>
      <c r="P521" s="2" t="s">
        <v>2597</v>
      </c>
    </row>
    <row r="522" ht="22.5" customHeight="1">
      <c r="A522" s="2" t="s">
        <v>2019</v>
      </c>
      <c r="B522" s="12">
        <v>46183.0</v>
      </c>
      <c r="C522" s="13" t="str">
        <f t="shared" si="1"/>
        <v>2026-06</v>
      </c>
      <c r="D522" s="12">
        <v>46205.0</v>
      </c>
      <c r="E522" s="12">
        <v>46206.0</v>
      </c>
      <c r="F522" s="2" t="s">
        <v>153</v>
      </c>
      <c r="G522" s="2" t="str">
        <f>VLOOKUP(F522,Tabela_1[#ALL],2,0)</f>
        <v>Mercatto S.A.</v>
      </c>
      <c r="H522" s="2" t="str">
        <f>VLOOKUP(F522,Tabela_1[#ALL],3,0)</f>
        <v>varejo</v>
      </c>
      <c r="I522" s="2" t="s">
        <v>91</v>
      </c>
      <c r="J522" s="2">
        <v>2.0</v>
      </c>
      <c r="K522" s="14">
        <v>7518.0</v>
      </c>
      <c r="L522" s="14">
        <v>6712.5</v>
      </c>
      <c r="M522" s="14">
        <v>805.5</v>
      </c>
      <c r="N522" s="14">
        <v>1472.0</v>
      </c>
      <c r="O522" s="14">
        <f t="shared" si="2"/>
        <v>-666.5</v>
      </c>
      <c r="P522" s="2" t="s">
        <v>2597</v>
      </c>
    </row>
    <row r="523" ht="22.5" customHeight="1">
      <c r="A523" s="2" t="s">
        <v>2022</v>
      </c>
      <c r="B523" s="12">
        <v>46183.0</v>
      </c>
      <c r="C523" s="13" t="str">
        <f t="shared" si="1"/>
        <v>2026-06</v>
      </c>
      <c r="D523" s="12">
        <v>46215.0</v>
      </c>
      <c r="E523" s="12">
        <v>46215.0</v>
      </c>
      <c r="F523" s="2" t="s">
        <v>163</v>
      </c>
      <c r="G523" s="2" t="str">
        <f>VLOOKUP(F523,Tabela_1[#ALL],2,0)</f>
        <v>RotaFácil S.A.</v>
      </c>
      <c r="H523" s="2" t="str">
        <f>VLOOKUP(F523,Tabela_1[#ALL],3,0)</f>
        <v>ecommerce</v>
      </c>
      <c r="I523" s="2" t="s">
        <v>39</v>
      </c>
      <c r="J523" s="2">
        <v>2.0</v>
      </c>
      <c r="K523" s="14">
        <v>3299.8</v>
      </c>
      <c r="L523" s="14">
        <v>2808.7</v>
      </c>
      <c r="M523" s="14">
        <v>491.1</v>
      </c>
      <c r="N523" s="14">
        <v>1692.0</v>
      </c>
      <c r="O523" s="14">
        <f t="shared" si="2"/>
        <v>-1200.9</v>
      </c>
      <c r="P523" s="2" t="s">
        <v>2597</v>
      </c>
    </row>
    <row r="524" ht="22.5" customHeight="1">
      <c r="A524" s="2" t="s">
        <v>2028</v>
      </c>
      <c r="B524" s="12">
        <v>46183.0</v>
      </c>
      <c r="C524" s="13" t="str">
        <f t="shared" si="1"/>
        <v>2026-06</v>
      </c>
      <c r="D524" s="12">
        <v>46210.0</v>
      </c>
      <c r="E524" s="12">
        <v>46210.0</v>
      </c>
      <c r="F524" s="2" t="s">
        <v>173</v>
      </c>
      <c r="G524" s="2" t="str">
        <f>VLOOKUP(F524,Tabela_1[#ALL],2,0)</f>
        <v>Distribuidora Sul Sul Ltda</v>
      </c>
      <c r="H524" s="2" t="str">
        <f>VLOOKUP(F524,Tabela_1[#ALL],3,0)</f>
        <v>distribuidor</v>
      </c>
      <c r="I524" s="2" t="s">
        <v>56</v>
      </c>
      <c r="J524" s="2">
        <v>2.0</v>
      </c>
      <c r="K524" s="14">
        <v>6908.1</v>
      </c>
      <c r="L524" s="14">
        <v>5506.3</v>
      </c>
      <c r="M524" s="14">
        <v>1401.8</v>
      </c>
      <c r="N524" s="14">
        <v>2597.0</v>
      </c>
      <c r="O524" s="14">
        <f t="shared" si="2"/>
        <v>-1195.2</v>
      </c>
      <c r="P524" s="2" t="s">
        <v>2597</v>
      </c>
    </row>
    <row r="525" ht="22.5" customHeight="1">
      <c r="A525" s="2" t="s">
        <v>2029</v>
      </c>
      <c r="B525" s="12">
        <v>46183.0</v>
      </c>
      <c r="C525" s="13" t="str">
        <f t="shared" si="1"/>
        <v>2026-06</v>
      </c>
      <c r="D525" s="12">
        <v>46218.0</v>
      </c>
      <c r="E525" s="12">
        <v>46216.0</v>
      </c>
      <c r="F525" s="2" t="s">
        <v>181</v>
      </c>
      <c r="G525" s="2" t="str">
        <f>VLOOKUP(F525,Tabela_1[#ALL],2,0)</f>
        <v>Mercatto Comércio</v>
      </c>
      <c r="H525" s="2" t="str">
        <f>VLOOKUP(F525,Tabela_1[#ALL],3,0)</f>
        <v>varejo</v>
      </c>
      <c r="I525" s="2" t="s">
        <v>39</v>
      </c>
      <c r="J525" s="2">
        <v>1.0</v>
      </c>
      <c r="K525" s="14">
        <v>8551.2</v>
      </c>
      <c r="L525" s="14">
        <v>7635.0</v>
      </c>
      <c r="M525" s="14">
        <v>916.2</v>
      </c>
      <c r="N525" s="14">
        <v>77.0</v>
      </c>
      <c r="O525" s="14">
        <f t="shared" si="2"/>
        <v>839.2</v>
      </c>
      <c r="P525" s="2" t="s">
        <v>2597</v>
      </c>
    </row>
    <row r="526" ht="22.5" customHeight="1">
      <c r="A526" s="2" t="s">
        <v>2031</v>
      </c>
      <c r="B526" s="12">
        <v>46183.0</v>
      </c>
      <c r="C526" s="13" t="str">
        <f t="shared" si="1"/>
        <v>2026-06</v>
      </c>
      <c r="D526" s="12">
        <v>46206.0</v>
      </c>
      <c r="E526" s="12">
        <v>46203.0</v>
      </c>
      <c r="F526" s="2" t="s">
        <v>187</v>
      </c>
      <c r="G526" s="2" t="str">
        <f>VLOOKUP(F526,Tabela_1[#ALL],2,0)</f>
        <v>Granoma Alimentos EPP</v>
      </c>
      <c r="H526" s="2" t="str">
        <f>VLOOKUP(F526,Tabela_1[#ALL],3,0)</f>
        <v>alimenticio</v>
      </c>
      <c r="I526" s="2" t="s">
        <v>22</v>
      </c>
      <c r="J526" s="2">
        <v>2.0</v>
      </c>
      <c r="K526" s="14">
        <v>18867.5</v>
      </c>
      <c r="L526" s="14">
        <v>15825.1</v>
      </c>
      <c r="M526" s="14">
        <v>3042.4</v>
      </c>
      <c r="N526" s="14">
        <v>1888.0</v>
      </c>
      <c r="O526" s="14">
        <f t="shared" si="2"/>
        <v>1154.4</v>
      </c>
      <c r="P526" s="2" t="s">
        <v>2597</v>
      </c>
    </row>
    <row r="527" ht="22.5" customHeight="1">
      <c r="A527" s="2" t="s">
        <v>2032</v>
      </c>
      <c r="B527" s="12">
        <v>46183.0</v>
      </c>
      <c r="C527" s="13" t="str">
        <f t="shared" si="1"/>
        <v>2026-06</v>
      </c>
      <c r="D527" s="12">
        <v>46213.0</v>
      </c>
      <c r="E527" s="12">
        <v>46210.0</v>
      </c>
      <c r="F527" s="2" t="s">
        <v>187</v>
      </c>
      <c r="G527" s="2" t="str">
        <f>VLOOKUP(F527,Tabela_1[#ALL],2,0)</f>
        <v>Granoma Alimentos EPP</v>
      </c>
      <c r="H527" s="2" t="str">
        <f>VLOOKUP(F527,Tabela_1[#ALL],3,0)</f>
        <v>alimenticio</v>
      </c>
      <c r="I527" s="2" t="s">
        <v>22</v>
      </c>
      <c r="J527" s="2">
        <v>3.0</v>
      </c>
      <c r="K527" s="14">
        <v>9924.9</v>
      </c>
      <c r="L527" s="14">
        <v>8503.4</v>
      </c>
      <c r="M527" s="14">
        <v>1421.5</v>
      </c>
      <c r="N527" s="14">
        <v>1852.0</v>
      </c>
      <c r="O527" s="14">
        <f t="shared" si="2"/>
        <v>-430.5</v>
      </c>
      <c r="P527" s="2" t="s">
        <v>2597</v>
      </c>
    </row>
    <row r="528" ht="22.5" customHeight="1">
      <c r="A528" s="2" t="s">
        <v>2036</v>
      </c>
      <c r="B528" s="12">
        <v>46183.0</v>
      </c>
      <c r="C528" s="13" t="str">
        <f t="shared" si="1"/>
        <v>2026-06</v>
      </c>
      <c r="D528" s="12">
        <v>46213.0</v>
      </c>
      <c r="E528" s="12">
        <v>46211.0</v>
      </c>
      <c r="F528" s="2" t="s">
        <v>191</v>
      </c>
      <c r="G528" s="2" t="str">
        <f>VLOOKUP(F528,Tabela_1[#ALL],2,0)</f>
        <v>Solene Cosméticos Ltda (São Paulo)</v>
      </c>
      <c r="H528" s="2" t="str">
        <f>VLOOKUP(F528,Tabela_1[#ALL],3,0)</f>
        <v>cosmetico</v>
      </c>
      <c r="I528" s="2" t="s">
        <v>49</v>
      </c>
      <c r="J528" s="2">
        <v>1.0</v>
      </c>
      <c r="K528" s="14">
        <v>3670.8</v>
      </c>
      <c r="L528" s="14">
        <v>2971.6</v>
      </c>
      <c r="M528" s="14">
        <v>699.2</v>
      </c>
      <c r="N528" s="14">
        <v>7550.0</v>
      </c>
      <c r="O528" s="14">
        <f t="shared" si="2"/>
        <v>-6850.8</v>
      </c>
      <c r="P528" s="2" t="s">
        <v>2597</v>
      </c>
    </row>
    <row r="529" ht="22.5" customHeight="1">
      <c r="A529" s="2" t="s">
        <v>2038</v>
      </c>
      <c r="B529" s="12">
        <v>46183.0</v>
      </c>
      <c r="C529" s="13" t="str">
        <f t="shared" si="1"/>
        <v>2026-06</v>
      </c>
      <c r="D529" s="12">
        <v>46217.0</v>
      </c>
      <c r="E529" s="12">
        <v>46217.0</v>
      </c>
      <c r="F529" s="2" t="s">
        <v>207</v>
      </c>
      <c r="G529" s="2" t="str">
        <f>VLOOKUP(F529,Tabela_1[#ALL],2,0)</f>
        <v>Granoma Alimentos Cooperativa</v>
      </c>
      <c r="H529" s="2" t="str">
        <f>VLOOKUP(F529,Tabela_1[#ALL],3,0)</f>
        <v>alimenticio</v>
      </c>
      <c r="I529" s="2" t="s">
        <v>39</v>
      </c>
      <c r="J529" s="2">
        <v>3.0</v>
      </c>
      <c r="K529" s="14">
        <v>10584.4</v>
      </c>
      <c r="L529" s="14">
        <v>8582.6</v>
      </c>
      <c r="M529" s="14">
        <v>2001.8</v>
      </c>
      <c r="N529" s="14">
        <v>4424.0</v>
      </c>
      <c r="O529" s="14">
        <f t="shared" si="2"/>
        <v>-2422.2</v>
      </c>
      <c r="P529" s="2" t="s">
        <v>2597</v>
      </c>
    </row>
    <row r="530" ht="22.5" customHeight="1">
      <c r="A530" s="2" t="s">
        <v>2040</v>
      </c>
      <c r="B530" s="12">
        <v>46183.0</v>
      </c>
      <c r="C530" s="13" t="str">
        <f t="shared" si="1"/>
        <v>2026-06</v>
      </c>
      <c r="D530" s="12">
        <v>46211.0</v>
      </c>
      <c r="E530" s="12">
        <v>46213.0</v>
      </c>
      <c r="F530" s="2" t="s">
        <v>251</v>
      </c>
      <c r="G530" s="2" t="str">
        <f>VLOOKUP(F530,Tabela_1[#ALL],2,0)</f>
        <v>Saúde Total Labs S.A.</v>
      </c>
      <c r="H530" s="2" t="str">
        <f>VLOOKUP(F530,Tabela_1[#ALL],3,0)</f>
        <v>farmaceutico</v>
      </c>
      <c r="I530" s="2" t="s">
        <v>49</v>
      </c>
      <c r="J530" s="2">
        <v>1.0</v>
      </c>
      <c r="K530" s="14">
        <v>13176.8</v>
      </c>
      <c r="L530" s="14">
        <v>11765.0</v>
      </c>
      <c r="M530" s="14">
        <v>1411.8</v>
      </c>
      <c r="N530" s="14">
        <v>801.0</v>
      </c>
      <c r="O530" s="14">
        <f t="shared" si="2"/>
        <v>610.8</v>
      </c>
      <c r="P530" s="2" t="s">
        <v>2597</v>
      </c>
    </row>
    <row r="531" ht="22.5" customHeight="1">
      <c r="A531" s="2" t="s">
        <v>2043</v>
      </c>
      <c r="B531" s="12">
        <v>46184.0</v>
      </c>
      <c r="C531" s="13" t="str">
        <f t="shared" si="1"/>
        <v>2026-06</v>
      </c>
      <c r="D531" s="12">
        <v>46216.0</v>
      </c>
      <c r="E531" s="12">
        <v>46214.0</v>
      </c>
      <c r="F531" s="2" t="s">
        <v>35</v>
      </c>
      <c r="G531" s="2" t="str">
        <f>VLOOKUP(F531,Tabela_1[#ALL],2,0)</f>
        <v>CoopVale</v>
      </c>
      <c r="H531" s="2" t="str">
        <f>VLOOKUP(F531,Tabela_1[#ALL],3,0)</f>
        <v>alimenticio</v>
      </c>
      <c r="I531" s="2" t="s">
        <v>39</v>
      </c>
      <c r="J531" s="2">
        <v>3.0</v>
      </c>
      <c r="K531" s="14">
        <v>108645.6</v>
      </c>
      <c r="L531" s="14">
        <v>87951.2</v>
      </c>
      <c r="M531" s="14">
        <v>20694.4</v>
      </c>
      <c r="N531" s="14">
        <v>600.0</v>
      </c>
      <c r="O531" s="14">
        <f t="shared" si="2"/>
        <v>20094.4</v>
      </c>
      <c r="P531" s="2" t="s">
        <v>2597</v>
      </c>
    </row>
    <row r="532" ht="22.5" customHeight="1">
      <c r="A532" s="2" t="s">
        <v>2048</v>
      </c>
      <c r="B532" s="12">
        <v>46184.0</v>
      </c>
      <c r="C532" s="13" t="str">
        <f t="shared" si="1"/>
        <v>2026-06</v>
      </c>
      <c r="D532" s="12">
        <v>46199.0</v>
      </c>
      <c r="E532" s="12">
        <v>46200.0</v>
      </c>
      <c r="F532" s="2" t="s">
        <v>51</v>
      </c>
      <c r="G532" s="2" t="str">
        <f>VLOOKUP(F532,Tabela_1[#ALL],2,0)</f>
        <v>LogiPack</v>
      </c>
      <c r="H532" s="2" t="str">
        <f>VLOOKUP(F532,Tabela_1[#ALL],3,0)</f>
        <v>logistica</v>
      </c>
      <c r="I532" s="2" t="s">
        <v>56</v>
      </c>
      <c r="J532" s="2">
        <v>1.0</v>
      </c>
      <c r="K532" s="14">
        <v>135388.5</v>
      </c>
      <c r="L532" s="14">
        <v>106227.9</v>
      </c>
      <c r="M532" s="14">
        <v>29160.6</v>
      </c>
      <c r="N532" s="14">
        <v>1381.0</v>
      </c>
      <c r="O532" s="14">
        <f t="shared" si="2"/>
        <v>27779.6</v>
      </c>
      <c r="P532" s="2" t="s">
        <v>2597</v>
      </c>
    </row>
    <row r="533" ht="22.5" customHeight="1">
      <c r="A533" s="2" t="s">
        <v>2052</v>
      </c>
      <c r="B533" s="12">
        <v>46184.0</v>
      </c>
      <c r="C533" s="13" t="str">
        <f t="shared" si="1"/>
        <v>2026-06</v>
      </c>
      <c r="D533" s="12">
        <v>46219.0</v>
      </c>
      <c r="E533" s="12">
        <v>46222.0</v>
      </c>
      <c r="F533" s="2" t="s">
        <v>74</v>
      </c>
      <c r="G533" s="2" t="str">
        <f>VLOOKUP(F533,Tabela_1[#ALL],2,0)</f>
        <v>EnvioFácil</v>
      </c>
      <c r="H533" s="2" t="str">
        <f>VLOOKUP(F533,Tabela_1[#ALL],3,0)</f>
        <v>ecommerce</v>
      </c>
      <c r="I533" s="2" t="s">
        <v>56</v>
      </c>
      <c r="J533" s="2">
        <v>2.0</v>
      </c>
      <c r="K533" s="14">
        <v>14992.6</v>
      </c>
      <c r="L533" s="14">
        <v>12761.5</v>
      </c>
      <c r="M533" s="14">
        <v>2231.1</v>
      </c>
      <c r="N533" s="14">
        <v>1227.0</v>
      </c>
      <c r="O533" s="14">
        <f t="shared" si="2"/>
        <v>1004.1</v>
      </c>
      <c r="P533" s="2" t="s">
        <v>2599</v>
      </c>
    </row>
    <row r="534" ht="22.5" customHeight="1">
      <c r="A534" s="2" t="s">
        <v>2054</v>
      </c>
      <c r="B534" s="12">
        <v>46184.0</v>
      </c>
      <c r="C534" s="13" t="str">
        <f t="shared" si="1"/>
        <v>2026-06</v>
      </c>
      <c r="D534" s="12">
        <v>46213.0</v>
      </c>
      <c r="E534" s="12">
        <v>46210.0</v>
      </c>
      <c r="F534" s="2" t="s">
        <v>92</v>
      </c>
      <c r="G534" s="2" t="str">
        <f>VLOOKUP(F534,Tabela_1[#ALL],2,0)</f>
        <v>EssenciaPura</v>
      </c>
      <c r="H534" s="2" t="str">
        <f>VLOOKUP(F534,Tabela_1[#ALL],3,0)</f>
        <v>cosmetico</v>
      </c>
      <c r="I534" s="2" t="s">
        <v>39</v>
      </c>
      <c r="J534" s="2">
        <v>1.0</v>
      </c>
      <c r="K534" s="14">
        <v>7379.4</v>
      </c>
      <c r="L534" s="14">
        <v>5798.1</v>
      </c>
      <c r="M534" s="14">
        <v>1581.3</v>
      </c>
      <c r="N534" s="14">
        <v>1358.0</v>
      </c>
      <c r="O534" s="14">
        <f t="shared" si="2"/>
        <v>223.3</v>
      </c>
      <c r="P534" s="2" t="s">
        <v>2597</v>
      </c>
    </row>
    <row r="535" ht="22.5" customHeight="1">
      <c r="A535" s="2" t="s">
        <v>2056</v>
      </c>
      <c r="B535" s="12">
        <v>46184.0</v>
      </c>
      <c r="C535" s="13" t="str">
        <f t="shared" si="1"/>
        <v>2026-06</v>
      </c>
      <c r="D535" s="12">
        <v>46215.0</v>
      </c>
      <c r="E535" s="12">
        <v>46214.0</v>
      </c>
      <c r="F535" s="2" t="s">
        <v>138</v>
      </c>
      <c r="G535" s="2" t="str">
        <f>VLOOKUP(F535,Tabela_1[#ALL],2,0)</f>
        <v>Mercatto ME</v>
      </c>
      <c r="H535" s="2" t="str">
        <f>VLOOKUP(F535,Tabela_1[#ALL],3,0)</f>
        <v>varejo</v>
      </c>
      <c r="I535" s="2" t="s">
        <v>39</v>
      </c>
      <c r="J535" s="2">
        <v>3.0</v>
      </c>
      <c r="K535" s="14">
        <v>15571.7</v>
      </c>
      <c r="L535" s="14">
        <v>12779.7</v>
      </c>
      <c r="M535" s="14">
        <v>2792.0</v>
      </c>
      <c r="N535" s="14">
        <v>1216.0</v>
      </c>
      <c r="O535" s="14">
        <f t="shared" si="2"/>
        <v>1576</v>
      </c>
      <c r="P535" s="2" t="s">
        <v>2597</v>
      </c>
    </row>
    <row r="536" ht="22.5" customHeight="1">
      <c r="A536" s="2" t="s">
        <v>2060</v>
      </c>
      <c r="B536" s="12">
        <v>46184.0</v>
      </c>
      <c r="C536" s="13" t="str">
        <f t="shared" si="1"/>
        <v>2026-06</v>
      </c>
      <c r="D536" s="12">
        <v>46203.0</v>
      </c>
      <c r="F536" s="2" t="s">
        <v>153</v>
      </c>
      <c r="G536" s="2" t="str">
        <f>VLOOKUP(F536,Tabela_1[#ALL],2,0)</f>
        <v>Mercatto S.A.</v>
      </c>
      <c r="H536" s="2" t="str">
        <f>VLOOKUP(F536,Tabela_1[#ALL],3,0)</f>
        <v>varejo</v>
      </c>
      <c r="I536" s="2" t="s">
        <v>91</v>
      </c>
      <c r="J536" s="2">
        <v>1.0</v>
      </c>
      <c r="K536" s="14">
        <v>10987.2</v>
      </c>
      <c r="L536" s="14">
        <v>9810.0</v>
      </c>
      <c r="M536" s="14">
        <v>1177.2</v>
      </c>
      <c r="N536" s="14">
        <v>1343.0</v>
      </c>
      <c r="O536" s="14">
        <f t="shared" si="2"/>
        <v>-165.8</v>
      </c>
      <c r="P536" s="2" t="s">
        <v>2600</v>
      </c>
    </row>
    <row r="537" ht="22.5" customHeight="1">
      <c r="A537" s="2" t="s">
        <v>2063</v>
      </c>
      <c r="B537" s="12">
        <v>46184.0</v>
      </c>
      <c r="C537" s="13" t="str">
        <f t="shared" si="1"/>
        <v>2026-06</v>
      </c>
      <c r="D537" s="12">
        <v>46219.0</v>
      </c>
      <c r="E537" s="12">
        <v>46217.0</v>
      </c>
      <c r="F537" s="2" t="s">
        <v>177</v>
      </c>
      <c r="G537" s="2" t="str">
        <f>VLOOKUP(F537,Tabela_1[#ALL],2,0)</f>
        <v>EntregaCerta ME</v>
      </c>
      <c r="H537" s="2" t="str">
        <f>VLOOKUP(F537,Tabela_1[#ALL],3,0)</f>
        <v>ecommerce</v>
      </c>
      <c r="I537" s="2" t="s">
        <v>91</v>
      </c>
      <c r="J537" s="2">
        <v>2.0</v>
      </c>
      <c r="K537" s="14">
        <v>100993.6</v>
      </c>
      <c r="L537" s="14">
        <v>84656.4</v>
      </c>
      <c r="M537" s="14">
        <v>16337.2</v>
      </c>
      <c r="N537" s="14">
        <v>3226.0</v>
      </c>
      <c r="O537" s="14">
        <f t="shared" si="2"/>
        <v>13111.2</v>
      </c>
      <c r="P537" s="2" t="s">
        <v>2597</v>
      </c>
    </row>
    <row r="538" ht="22.5" customHeight="1">
      <c r="A538" s="2" t="s">
        <v>2066</v>
      </c>
      <c r="B538" s="12">
        <v>46184.0</v>
      </c>
      <c r="C538" s="13" t="str">
        <f t="shared" si="1"/>
        <v>2026-06</v>
      </c>
      <c r="D538" s="12">
        <v>46217.0</v>
      </c>
      <c r="E538" s="12">
        <v>46217.0</v>
      </c>
      <c r="F538" s="2" t="s">
        <v>189</v>
      </c>
      <c r="G538" s="2" t="str">
        <f>VLOOKUP(F538,Tabela_1[#ALL],2,0)</f>
        <v>EnviaTudo Cooperativa (Joinville)</v>
      </c>
      <c r="H538" s="2" t="str">
        <f>VLOOKUP(F538,Tabela_1[#ALL],3,0)</f>
        <v>ecommerce</v>
      </c>
      <c r="I538" s="2" t="s">
        <v>22</v>
      </c>
      <c r="J538" s="2">
        <v>1.0</v>
      </c>
      <c r="K538" s="14">
        <v>3250.8</v>
      </c>
      <c r="L538" s="14">
        <v>2631.6</v>
      </c>
      <c r="M538" s="14">
        <v>619.2</v>
      </c>
      <c r="N538" s="14">
        <v>4507.0</v>
      </c>
      <c r="O538" s="14">
        <f t="shared" si="2"/>
        <v>-3887.8</v>
      </c>
      <c r="P538" s="2" t="s">
        <v>2597</v>
      </c>
    </row>
    <row r="539" ht="22.5" customHeight="1">
      <c r="A539" s="2" t="s">
        <v>2067</v>
      </c>
      <c r="B539" s="12">
        <v>46184.0</v>
      </c>
      <c r="C539" s="13" t="str">
        <f t="shared" si="1"/>
        <v>2026-06</v>
      </c>
      <c r="D539" s="12">
        <v>46204.0</v>
      </c>
      <c r="F539" s="2" t="s">
        <v>205</v>
      </c>
      <c r="G539" s="2" t="str">
        <f>VLOOKUP(F539,Tabela_1[#ALL],2,0)</f>
        <v>Farmalivre Indústria</v>
      </c>
      <c r="H539" s="2" t="str">
        <f>VLOOKUP(F539,Tabela_1[#ALL],3,0)</f>
        <v>farmaceutico</v>
      </c>
      <c r="I539" s="2" t="s">
        <v>91</v>
      </c>
      <c r="J539" s="2">
        <v>1.0</v>
      </c>
      <c r="K539" s="14">
        <v>5800.4</v>
      </c>
      <c r="L539" s="14">
        <v>4862.1</v>
      </c>
      <c r="M539" s="14">
        <v>938.3</v>
      </c>
      <c r="N539" s="14">
        <v>1442.0</v>
      </c>
      <c r="O539" s="14">
        <f t="shared" si="2"/>
        <v>-503.7</v>
      </c>
      <c r="P539" s="2" t="s">
        <v>2600</v>
      </c>
    </row>
    <row r="540" ht="22.5" customHeight="1">
      <c r="A540" s="2" t="s">
        <v>2069</v>
      </c>
      <c r="B540" s="12">
        <v>46185.0</v>
      </c>
      <c r="C540" s="13" t="str">
        <f t="shared" si="1"/>
        <v>2026-06</v>
      </c>
      <c r="D540" s="12">
        <v>46213.0</v>
      </c>
      <c r="F540" s="2" t="s">
        <v>151</v>
      </c>
      <c r="G540" s="2" t="str">
        <f>VLOOKUP(F540,Tabela_1[#ALL],2,0)</f>
        <v>Varejo Familiar Ltda (Foz do Iguaçu)</v>
      </c>
      <c r="H540" s="2" t="str">
        <f>VLOOKUP(F540,Tabela_1[#ALL],3,0)</f>
        <v>varejo</v>
      </c>
      <c r="I540" s="2" t="s">
        <v>39</v>
      </c>
      <c r="J540" s="2">
        <v>2.0</v>
      </c>
      <c r="K540" s="14">
        <v>13771.8</v>
      </c>
      <c r="L540" s="14">
        <v>10525.5</v>
      </c>
      <c r="M540" s="14">
        <v>3246.3</v>
      </c>
      <c r="N540" s="14">
        <v>667.0</v>
      </c>
      <c r="O540" s="14">
        <f t="shared" si="2"/>
        <v>2579.3</v>
      </c>
      <c r="P540" s="2" t="s">
        <v>2601</v>
      </c>
    </row>
    <row r="541" ht="22.5" customHeight="1">
      <c r="A541" s="2" t="s">
        <v>2072</v>
      </c>
      <c r="B541" s="12">
        <v>46185.0</v>
      </c>
      <c r="C541" s="13" t="str">
        <f t="shared" si="1"/>
        <v>2026-06</v>
      </c>
      <c r="D541" s="12">
        <v>46204.0</v>
      </c>
      <c r="E541" s="12">
        <v>46205.0</v>
      </c>
      <c r="F541" s="2" t="s">
        <v>163</v>
      </c>
      <c r="G541" s="2" t="str">
        <f>VLOOKUP(F541,Tabela_1[#ALL],2,0)</f>
        <v>RotaFácil S.A.</v>
      </c>
      <c r="H541" s="2" t="str">
        <f>VLOOKUP(F541,Tabela_1[#ALL],3,0)</f>
        <v>ecommerce</v>
      </c>
      <c r="I541" s="2" t="s">
        <v>39</v>
      </c>
      <c r="J541" s="2">
        <v>1.0</v>
      </c>
      <c r="K541" s="14">
        <v>3040.8</v>
      </c>
      <c r="L541" s="14">
        <v>2461.6</v>
      </c>
      <c r="M541" s="14">
        <v>579.2</v>
      </c>
      <c r="N541" s="14">
        <v>1702.0</v>
      </c>
      <c r="O541" s="14">
        <f t="shared" si="2"/>
        <v>-1122.8</v>
      </c>
      <c r="P541" s="2" t="s">
        <v>2597</v>
      </c>
    </row>
    <row r="542" ht="22.5" customHeight="1">
      <c r="A542" s="2" t="s">
        <v>2074</v>
      </c>
      <c r="B542" s="12">
        <v>46185.0</v>
      </c>
      <c r="C542" s="13" t="str">
        <f t="shared" si="1"/>
        <v>2026-06</v>
      </c>
      <c r="D542" s="12">
        <v>46200.0</v>
      </c>
      <c r="E542" s="12">
        <v>46201.0</v>
      </c>
      <c r="F542" s="2" t="s">
        <v>191</v>
      </c>
      <c r="G542" s="2" t="str">
        <f>VLOOKUP(F542,Tabela_1[#ALL],2,0)</f>
        <v>Solene Cosméticos Ltda (São Paulo)</v>
      </c>
      <c r="H542" s="2" t="str">
        <f>VLOOKUP(F542,Tabela_1[#ALL],3,0)</f>
        <v>cosmetico</v>
      </c>
      <c r="I542" s="2" t="s">
        <v>49</v>
      </c>
      <c r="J542" s="2">
        <v>2.0</v>
      </c>
      <c r="K542" s="14">
        <v>11154.6</v>
      </c>
      <c r="L542" s="14">
        <v>8891.0</v>
      </c>
      <c r="M542" s="14">
        <v>2263.6</v>
      </c>
      <c r="N542" s="14">
        <v>6332.0</v>
      </c>
      <c r="O542" s="14">
        <f t="shared" si="2"/>
        <v>-4068.4</v>
      </c>
      <c r="P542" s="2" t="s">
        <v>2597</v>
      </c>
    </row>
    <row r="543" ht="22.5" customHeight="1">
      <c r="A543" s="2" t="s">
        <v>2077</v>
      </c>
      <c r="B543" s="12">
        <v>46185.0</v>
      </c>
      <c r="C543" s="13" t="str">
        <f t="shared" si="1"/>
        <v>2026-06</v>
      </c>
      <c r="D543" s="12">
        <v>46218.0</v>
      </c>
      <c r="E543" s="12">
        <v>46220.0</v>
      </c>
      <c r="F543" s="2" t="s">
        <v>211</v>
      </c>
      <c r="G543" s="2" t="str">
        <f>VLOOKUP(F543,Tabela_1[#ALL],2,0)</f>
        <v>PackExpress S.A.</v>
      </c>
      <c r="H543" s="2" t="str">
        <f>VLOOKUP(F543,Tabela_1[#ALL],3,0)</f>
        <v>ecommerce</v>
      </c>
      <c r="I543" s="2" t="s">
        <v>91</v>
      </c>
      <c r="J543" s="2">
        <v>1.0</v>
      </c>
      <c r="K543" s="14">
        <v>1664.0</v>
      </c>
      <c r="L543" s="14">
        <v>1305.6</v>
      </c>
      <c r="M543" s="14">
        <v>358.4</v>
      </c>
      <c r="N543" s="14">
        <v>994.0</v>
      </c>
      <c r="O543" s="14">
        <f t="shared" si="2"/>
        <v>-635.6</v>
      </c>
      <c r="P543" s="2" t="s">
        <v>2597</v>
      </c>
    </row>
    <row r="544" ht="22.5" customHeight="1">
      <c r="A544" s="2" t="s">
        <v>2080</v>
      </c>
      <c r="B544" s="12">
        <v>46185.0</v>
      </c>
      <c r="C544" s="13" t="str">
        <f t="shared" si="1"/>
        <v>2026-06</v>
      </c>
      <c r="D544" s="12">
        <v>46215.0</v>
      </c>
      <c r="E544" s="12">
        <v>46216.0</v>
      </c>
      <c r="F544" s="2" t="s">
        <v>227</v>
      </c>
      <c r="G544" s="2" t="str">
        <f>VLOOKUP(F544,Tabela_1[#ALL],2,0)</f>
        <v>Granoma Alimentos Indústria</v>
      </c>
      <c r="H544" s="2" t="str">
        <f>VLOOKUP(F544,Tabela_1[#ALL],3,0)</f>
        <v>alimenticio</v>
      </c>
      <c r="I544" s="2" t="s">
        <v>56</v>
      </c>
      <c r="J544" s="2">
        <v>3.0</v>
      </c>
      <c r="K544" s="14">
        <v>4628.2</v>
      </c>
      <c r="L544" s="14">
        <v>3787.8</v>
      </c>
      <c r="M544" s="14">
        <v>840.4</v>
      </c>
      <c r="N544" s="14">
        <v>850.0</v>
      </c>
      <c r="O544" s="14">
        <f t="shared" si="2"/>
        <v>-9.6</v>
      </c>
      <c r="P544" s="2" t="s">
        <v>2597</v>
      </c>
    </row>
    <row r="545" ht="22.5" customHeight="1">
      <c r="A545" s="2" t="s">
        <v>2090</v>
      </c>
      <c r="B545" s="12">
        <v>46185.0</v>
      </c>
      <c r="C545" s="13" t="str">
        <f t="shared" si="1"/>
        <v>2026-06</v>
      </c>
      <c r="D545" s="12">
        <v>46213.0</v>
      </c>
      <c r="E545" s="12">
        <v>46210.0</v>
      </c>
      <c r="F545" s="2" t="s">
        <v>233</v>
      </c>
      <c r="G545" s="2" t="str">
        <f>VLOOKUP(F545,Tabela_1[#ALL],2,0)</f>
        <v>Doce Vale Comércio</v>
      </c>
      <c r="H545" s="2" t="str">
        <f>VLOOKUP(F545,Tabela_1[#ALL],3,0)</f>
        <v>alimenticio</v>
      </c>
      <c r="I545" s="2" t="s">
        <v>49</v>
      </c>
      <c r="J545" s="2">
        <v>3.0</v>
      </c>
      <c r="K545" s="14">
        <v>2966.6</v>
      </c>
      <c r="L545" s="14">
        <v>2483.9</v>
      </c>
      <c r="M545" s="14">
        <v>482.7</v>
      </c>
      <c r="N545" s="14">
        <v>1334.0</v>
      </c>
      <c r="O545" s="14">
        <f t="shared" si="2"/>
        <v>-851.3</v>
      </c>
      <c r="P545" s="2" t="s">
        <v>2597</v>
      </c>
    </row>
    <row r="546" ht="22.5" customHeight="1">
      <c r="A546" s="2" t="s">
        <v>2093</v>
      </c>
      <c r="B546" s="12">
        <v>46185.0</v>
      </c>
      <c r="C546" s="13" t="str">
        <f t="shared" si="1"/>
        <v>2026-06</v>
      </c>
      <c r="D546" s="12">
        <v>46207.0</v>
      </c>
      <c r="E546" s="12">
        <v>46207.0</v>
      </c>
      <c r="F546" s="2" t="s">
        <v>241</v>
      </c>
      <c r="G546" s="2" t="str">
        <f>VLOOKUP(F546,Tabela_1[#ALL],2,0)</f>
        <v>EssenciaPura EPP (Cascavel)</v>
      </c>
      <c r="H546" s="2" t="str">
        <f>VLOOKUP(F546,Tabela_1[#ALL],3,0)</f>
        <v>cosmetico</v>
      </c>
      <c r="I546" s="2" t="s">
        <v>39</v>
      </c>
      <c r="J546" s="2">
        <v>2.0</v>
      </c>
      <c r="K546" s="14">
        <v>4034.8</v>
      </c>
      <c r="L546" s="14">
        <v>3602.5</v>
      </c>
      <c r="M546" s="14">
        <v>432.3</v>
      </c>
      <c r="N546" s="14">
        <v>476.0</v>
      </c>
      <c r="O546" s="14">
        <f t="shared" si="2"/>
        <v>-43.7</v>
      </c>
      <c r="P546" s="2" t="s">
        <v>2597</v>
      </c>
    </row>
    <row r="547" ht="22.5" customHeight="1">
      <c r="A547" s="2" t="s">
        <v>2096</v>
      </c>
      <c r="B547" s="12">
        <v>46186.0</v>
      </c>
      <c r="C547" s="13" t="str">
        <f t="shared" si="1"/>
        <v>2026-06</v>
      </c>
      <c r="D547" s="12">
        <v>46209.0</v>
      </c>
      <c r="E547" s="12">
        <v>46223.0</v>
      </c>
      <c r="F547" s="2" t="s">
        <v>45</v>
      </c>
      <c r="G547" s="2" t="str">
        <f>VLOOKUP(F547,Tabela_1[#ALL],2,0)</f>
        <v>Bell Beauty</v>
      </c>
      <c r="H547" s="2" t="str">
        <f>VLOOKUP(F547,Tabela_1[#ALL],3,0)</f>
        <v>cosmetico</v>
      </c>
      <c r="I547" s="2" t="s">
        <v>49</v>
      </c>
      <c r="J547" s="2">
        <v>3.0</v>
      </c>
      <c r="K547" s="14">
        <v>105265.6</v>
      </c>
      <c r="L547" s="14">
        <v>86153.4</v>
      </c>
      <c r="M547" s="14">
        <v>19112.2</v>
      </c>
      <c r="N547" s="14">
        <v>12336.0</v>
      </c>
      <c r="O547" s="14">
        <f t="shared" si="2"/>
        <v>6776.2</v>
      </c>
      <c r="P547" s="2" t="s">
        <v>2599</v>
      </c>
    </row>
    <row r="548" ht="22.5" customHeight="1">
      <c r="A548" s="2" t="s">
        <v>2099</v>
      </c>
      <c r="B548" s="12">
        <v>46186.0</v>
      </c>
      <c r="C548" s="13" t="str">
        <f t="shared" si="1"/>
        <v>2026-06</v>
      </c>
      <c r="D548" s="12">
        <v>46217.0</v>
      </c>
      <c r="E548" s="12">
        <v>46217.0</v>
      </c>
      <c r="F548" s="2" t="s">
        <v>101</v>
      </c>
      <c r="G548" s="2" t="str">
        <f>VLOOKUP(F548,Tabela_1[#ALL],2,0)</f>
        <v>Vivê Beauty</v>
      </c>
      <c r="H548" s="2" t="str">
        <f>VLOOKUP(F548,Tabela_1[#ALL],3,0)</f>
        <v>cosmetico</v>
      </c>
      <c r="I548" s="2" t="s">
        <v>91</v>
      </c>
      <c r="J548" s="2">
        <v>2.0</v>
      </c>
      <c r="K548" s="14">
        <v>2024.8</v>
      </c>
      <c r="L548" s="14">
        <v>1698.1</v>
      </c>
      <c r="M548" s="14">
        <v>326.7</v>
      </c>
      <c r="N548" s="14">
        <v>1366.0</v>
      </c>
      <c r="O548" s="14">
        <f t="shared" si="2"/>
        <v>-1039.3</v>
      </c>
      <c r="P548" s="2" t="s">
        <v>2597</v>
      </c>
    </row>
    <row r="549" ht="22.5" customHeight="1">
      <c r="A549" s="2" t="s">
        <v>2103</v>
      </c>
      <c r="B549" s="12">
        <v>46186.0</v>
      </c>
      <c r="C549" s="13" t="str">
        <f t="shared" si="1"/>
        <v>2026-06</v>
      </c>
      <c r="D549" s="12">
        <v>46210.0</v>
      </c>
      <c r="E549" s="12">
        <v>46208.0</v>
      </c>
      <c r="F549" s="2" t="s">
        <v>106</v>
      </c>
      <c r="G549" s="2" t="str">
        <f>VLOOKUP(F549,Tabela_1[#ALL],2,0)</f>
        <v>DistribuPlus</v>
      </c>
      <c r="H549" s="2" t="str">
        <f>VLOOKUP(F549,Tabela_1[#ALL],3,0)</f>
        <v>distribuidor</v>
      </c>
      <c r="I549" s="2" t="s">
        <v>22</v>
      </c>
      <c r="J549" s="2">
        <v>2.0</v>
      </c>
      <c r="K549" s="14">
        <v>7862.4</v>
      </c>
      <c r="L549" s="14">
        <v>7020.0</v>
      </c>
      <c r="M549" s="14">
        <v>842.4</v>
      </c>
      <c r="N549" s="14">
        <v>2589.0</v>
      </c>
      <c r="O549" s="14">
        <f t="shared" si="2"/>
        <v>-1746.6</v>
      </c>
      <c r="P549" s="2" t="s">
        <v>2597</v>
      </c>
    </row>
    <row r="550" ht="22.5" customHeight="1">
      <c r="A550" s="2" t="s">
        <v>2105</v>
      </c>
      <c r="B550" s="12">
        <v>46186.0</v>
      </c>
      <c r="C550" s="13" t="str">
        <f t="shared" si="1"/>
        <v>2026-06</v>
      </c>
      <c r="D550" s="12">
        <v>46211.0</v>
      </c>
      <c r="E550" s="12">
        <v>46208.0</v>
      </c>
      <c r="F550" s="2" t="s">
        <v>167</v>
      </c>
      <c r="G550" s="2" t="str">
        <f>VLOOKUP(F550,Tabela_1[#ALL],2,0)</f>
        <v>Granoma Alimentos S.A.</v>
      </c>
      <c r="H550" s="2" t="str">
        <f>VLOOKUP(F550,Tabela_1[#ALL],3,0)</f>
        <v>alimenticio</v>
      </c>
      <c r="I550" s="2" t="s">
        <v>56</v>
      </c>
      <c r="J550" s="2">
        <v>1.0</v>
      </c>
      <c r="K550" s="14">
        <v>9429.0</v>
      </c>
      <c r="L550" s="14">
        <v>7633.0</v>
      </c>
      <c r="M550" s="14">
        <v>1796.0</v>
      </c>
      <c r="N550" s="14">
        <v>5056.0</v>
      </c>
      <c r="O550" s="14">
        <f t="shared" si="2"/>
        <v>-3260</v>
      </c>
      <c r="P550" s="2" t="s">
        <v>2597</v>
      </c>
    </row>
    <row r="551" ht="22.5" customHeight="1">
      <c r="A551" s="2" t="s">
        <v>2106</v>
      </c>
      <c r="B551" s="12">
        <v>46186.0</v>
      </c>
      <c r="C551" s="13" t="str">
        <f t="shared" si="1"/>
        <v>2026-06</v>
      </c>
      <c r="D551" s="12">
        <v>46209.0</v>
      </c>
      <c r="E551" s="12">
        <v>46207.0</v>
      </c>
      <c r="F551" s="2" t="s">
        <v>169</v>
      </c>
      <c r="G551" s="2" t="str">
        <f>VLOOKUP(F551,Tabela_1[#ALL],2,0)</f>
        <v>Supermercados Vivo EPP</v>
      </c>
      <c r="H551" s="2" t="str">
        <f>VLOOKUP(F551,Tabela_1[#ALL],3,0)</f>
        <v>varejo</v>
      </c>
      <c r="I551" s="2" t="s">
        <v>91</v>
      </c>
      <c r="J551" s="2">
        <v>2.0</v>
      </c>
      <c r="K551" s="14">
        <v>15173.2</v>
      </c>
      <c r="L551" s="14">
        <v>13547.5</v>
      </c>
      <c r="M551" s="14">
        <v>1625.7</v>
      </c>
      <c r="N551" s="14">
        <v>709.0</v>
      </c>
      <c r="O551" s="14">
        <f t="shared" si="2"/>
        <v>916.7</v>
      </c>
      <c r="P551" s="2" t="s">
        <v>2597</v>
      </c>
    </row>
    <row r="552" ht="22.5" customHeight="1">
      <c r="A552" s="2" t="s">
        <v>2107</v>
      </c>
      <c r="B552" s="12">
        <v>46186.0</v>
      </c>
      <c r="C552" s="13" t="str">
        <f t="shared" si="1"/>
        <v>2026-06</v>
      </c>
      <c r="D552" s="12">
        <v>46201.0</v>
      </c>
      <c r="E552" s="12">
        <v>46202.0</v>
      </c>
      <c r="F552" s="2" t="s">
        <v>179</v>
      </c>
      <c r="G552" s="2" t="str">
        <f>VLOOKUP(F552,Tabela_1[#ALL],2,0)</f>
        <v>Mercosul Comércio EPP (Joinville)</v>
      </c>
      <c r="H552" s="2" t="str">
        <f>VLOOKUP(F552,Tabela_1[#ALL],3,0)</f>
        <v>distribuidor</v>
      </c>
      <c r="I552" s="2" t="s">
        <v>39</v>
      </c>
      <c r="J552" s="2">
        <v>3.0</v>
      </c>
      <c r="K552" s="14">
        <v>14950.6</v>
      </c>
      <c r="L552" s="14">
        <v>12518.2</v>
      </c>
      <c r="M552" s="14">
        <v>2432.4</v>
      </c>
      <c r="N552" s="14">
        <v>3464.0</v>
      </c>
      <c r="O552" s="14">
        <f t="shared" si="2"/>
        <v>-1031.6</v>
      </c>
      <c r="P552" s="2" t="s">
        <v>2597</v>
      </c>
    </row>
    <row r="553" ht="22.5" customHeight="1">
      <c r="A553" s="2" t="s">
        <v>2110</v>
      </c>
      <c r="B553" s="12">
        <v>46186.0</v>
      </c>
      <c r="C553" s="13" t="str">
        <f t="shared" si="1"/>
        <v>2026-06</v>
      </c>
      <c r="D553" s="12">
        <v>46220.0</v>
      </c>
      <c r="E553" s="12">
        <v>46220.0</v>
      </c>
      <c r="F553" s="2" t="s">
        <v>197</v>
      </c>
      <c r="G553" s="2" t="str">
        <f>VLOOKUP(F553,Tabela_1[#ALL],2,0)</f>
        <v>Sabor Forte Alimentos Indústria</v>
      </c>
      <c r="H553" s="2" t="str">
        <f>VLOOKUP(F553,Tabela_1[#ALL],3,0)</f>
        <v>alimenticio</v>
      </c>
      <c r="I553" s="2" t="s">
        <v>49</v>
      </c>
      <c r="J553" s="2">
        <v>1.0</v>
      </c>
      <c r="K553" s="14">
        <v>11537.4</v>
      </c>
      <c r="L553" s="14">
        <v>9339.8</v>
      </c>
      <c r="M553" s="14">
        <v>2197.6</v>
      </c>
      <c r="N553" s="14">
        <v>1819.0</v>
      </c>
      <c r="O553" s="14">
        <f t="shared" si="2"/>
        <v>378.6</v>
      </c>
      <c r="P553" s="2" t="s">
        <v>2597</v>
      </c>
    </row>
    <row r="554" ht="22.5" customHeight="1">
      <c r="A554" s="2" t="s">
        <v>2112</v>
      </c>
      <c r="B554" s="12">
        <v>46186.0</v>
      </c>
      <c r="C554" s="13" t="str">
        <f t="shared" si="1"/>
        <v>2026-06</v>
      </c>
      <c r="D554" s="12">
        <v>46216.0</v>
      </c>
      <c r="E554" s="12">
        <v>46217.0</v>
      </c>
      <c r="F554" s="2" t="s">
        <v>243</v>
      </c>
      <c r="G554" s="2" t="str">
        <f>VLOOKUP(F554,Tabela_1[#ALL],2,0)</f>
        <v>RotaFácil Comércio</v>
      </c>
      <c r="H554" s="2" t="str">
        <f>VLOOKUP(F554,Tabela_1[#ALL],3,0)</f>
        <v>ecommerce</v>
      </c>
      <c r="I554" s="2" t="s">
        <v>22</v>
      </c>
      <c r="J554" s="2">
        <v>1.0</v>
      </c>
      <c r="K554" s="14">
        <v>18324.6</v>
      </c>
      <c r="L554" s="14">
        <v>14834.2</v>
      </c>
      <c r="M554" s="14">
        <v>3490.4</v>
      </c>
      <c r="N554" s="14">
        <v>528.0</v>
      </c>
      <c r="O554" s="14">
        <f t="shared" si="2"/>
        <v>2962.4</v>
      </c>
      <c r="P554" s="2" t="s">
        <v>2597</v>
      </c>
    </row>
    <row r="555" ht="22.5" customHeight="1">
      <c r="A555" s="2" t="s">
        <v>2115</v>
      </c>
      <c r="B555" s="12">
        <v>46187.0</v>
      </c>
      <c r="C555" s="13" t="str">
        <f t="shared" si="1"/>
        <v>2026-06</v>
      </c>
      <c r="D555" s="12">
        <v>46209.0</v>
      </c>
      <c r="E555" s="12">
        <v>46206.0</v>
      </c>
      <c r="F555" s="2" t="s">
        <v>57</v>
      </c>
      <c r="G555" s="2" t="str">
        <f>VLOOKUP(F555,Tabela_1[#ALL],2,0)</f>
        <v>Distribuidora Oeste</v>
      </c>
      <c r="H555" s="2" t="str">
        <f>VLOOKUP(F555,Tabela_1[#ALL],3,0)</f>
        <v>distribuidor</v>
      </c>
      <c r="I555" s="2" t="s">
        <v>39</v>
      </c>
      <c r="J555" s="2">
        <v>2.0</v>
      </c>
      <c r="K555" s="14">
        <v>51111.2</v>
      </c>
      <c r="L555" s="14">
        <v>45635.0</v>
      </c>
      <c r="M555" s="14">
        <v>5476.2</v>
      </c>
      <c r="N555" s="14">
        <v>175.0</v>
      </c>
      <c r="O555" s="14">
        <f t="shared" si="2"/>
        <v>5301.2</v>
      </c>
      <c r="P555" s="2" t="s">
        <v>2597</v>
      </c>
    </row>
    <row r="556" ht="22.5" customHeight="1">
      <c r="A556" s="2" t="s">
        <v>2118</v>
      </c>
      <c r="B556" s="12">
        <v>46187.0</v>
      </c>
      <c r="C556" s="13" t="str">
        <f t="shared" si="1"/>
        <v>2026-06</v>
      </c>
      <c r="D556" s="12">
        <v>46207.0</v>
      </c>
      <c r="E556" s="12">
        <v>46206.0</v>
      </c>
      <c r="F556" s="2" t="s">
        <v>69</v>
      </c>
      <c r="G556" s="2" t="str">
        <f>VLOOKUP(F556,Tabela_1[#ALL],2,0)</f>
        <v>Naturalle</v>
      </c>
      <c r="H556" s="2" t="str">
        <f>VLOOKUP(F556,Tabela_1[#ALL],3,0)</f>
        <v>cosmetico</v>
      </c>
      <c r="I556" s="2" t="s">
        <v>39</v>
      </c>
      <c r="J556" s="2">
        <v>3.0</v>
      </c>
      <c r="K556" s="14">
        <v>33632.4</v>
      </c>
      <c r="L556" s="14">
        <v>27271.15</v>
      </c>
      <c r="M556" s="14">
        <v>6361.25</v>
      </c>
      <c r="N556" s="14">
        <v>326.0</v>
      </c>
      <c r="O556" s="14">
        <f t="shared" si="2"/>
        <v>6035.25</v>
      </c>
      <c r="P556" s="2" t="s">
        <v>2597</v>
      </c>
    </row>
    <row r="557" ht="22.5" customHeight="1">
      <c r="A557" s="2" t="s">
        <v>2125</v>
      </c>
      <c r="B557" s="12">
        <v>46187.0</v>
      </c>
      <c r="C557" s="13" t="str">
        <f t="shared" si="1"/>
        <v>2026-06</v>
      </c>
      <c r="D557" s="12">
        <v>46217.0</v>
      </c>
      <c r="E557" s="12">
        <v>46217.0</v>
      </c>
      <c r="F557" s="2" t="s">
        <v>78</v>
      </c>
      <c r="G557" s="2" t="str">
        <f>VLOOKUP(F557,Tabela_1[#ALL],2,0)</f>
        <v>Bom Sabor Alimentos</v>
      </c>
      <c r="H557" s="2" t="str">
        <f>VLOOKUP(F557,Tabela_1[#ALL],3,0)</f>
        <v>alimenticio</v>
      </c>
      <c r="I557" s="2" t="s">
        <v>39</v>
      </c>
      <c r="J557" s="2">
        <v>3.0</v>
      </c>
      <c r="K557" s="14">
        <v>19336.4</v>
      </c>
      <c r="L557" s="14">
        <v>16566.7</v>
      </c>
      <c r="M557" s="14">
        <v>2769.7</v>
      </c>
      <c r="N557" s="14">
        <v>583.0</v>
      </c>
      <c r="O557" s="14">
        <f t="shared" si="2"/>
        <v>2186.7</v>
      </c>
      <c r="P557" s="2" t="s">
        <v>2597</v>
      </c>
    </row>
    <row r="558" ht="22.5" customHeight="1">
      <c r="A558" s="2" t="s">
        <v>2128</v>
      </c>
      <c r="B558" s="12">
        <v>46187.0</v>
      </c>
      <c r="C558" s="13" t="str">
        <f t="shared" si="1"/>
        <v>2026-06</v>
      </c>
      <c r="D558" s="12">
        <v>46204.0</v>
      </c>
      <c r="F558" s="2" t="s">
        <v>130</v>
      </c>
      <c r="G558" s="2" t="str">
        <f>VLOOKUP(F558,Tabela_1[#ALL],2,0)</f>
        <v>PackExpress Cooperativa</v>
      </c>
      <c r="H558" s="2" t="str">
        <f>VLOOKUP(F558,Tabela_1[#ALL],3,0)</f>
        <v>ecommerce</v>
      </c>
      <c r="I558" s="2" t="s">
        <v>39</v>
      </c>
      <c r="J558" s="2">
        <v>3.0</v>
      </c>
      <c r="K558" s="14">
        <v>11846.8</v>
      </c>
      <c r="L558" s="14">
        <v>10248.5</v>
      </c>
      <c r="M558" s="14">
        <v>1598.3</v>
      </c>
      <c r="N558" s="14">
        <v>2793.0</v>
      </c>
      <c r="O558" s="14">
        <f t="shared" si="2"/>
        <v>-1194.7</v>
      </c>
      <c r="P558" s="2" t="s">
        <v>2598</v>
      </c>
    </row>
    <row r="559" ht="22.5" customHeight="1">
      <c r="A559" s="2" t="s">
        <v>2130</v>
      </c>
      <c r="B559" s="12">
        <v>46187.0</v>
      </c>
      <c r="C559" s="13" t="str">
        <f t="shared" si="1"/>
        <v>2026-06</v>
      </c>
      <c r="D559" s="12">
        <v>46219.0</v>
      </c>
      <c r="E559" s="12">
        <v>46217.0</v>
      </c>
      <c r="F559" s="2" t="s">
        <v>132</v>
      </c>
      <c r="G559" s="2" t="str">
        <f>VLOOKUP(F559,Tabela_1[#ALL],2,0)</f>
        <v>Doce Vale</v>
      </c>
      <c r="H559" s="2" t="str">
        <f>VLOOKUP(F559,Tabela_1[#ALL],3,0)</f>
        <v>alimenticio</v>
      </c>
      <c r="I559" s="2" t="s">
        <v>39</v>
      </c>
      <c r="J559" s="2">
        <v>1.0</v>
      </c>
      <c r="K559" s="14">
        <v>10189.2</v>
      </c>
      <c r="L559" s="14">
        <v>8248.4</v>
      </c>
      <c r="M559" s="14">
        <v>1940.8</v>
      </c>
      <c r="N559" s="14">
        <v>2472.0</v>
      </c>
      <c r="O559" s="14">
        <f t="shared" si="2"/>
        <v>-531.2</v>
      </c>
      <c r="P559" s="2" t="s">
        <v>2597</v>
      </c>
    </row>
    <row r="560" ht="22.5" customHeight="1">
      <c r="A560" s="2" t="s">
        <v>2132</v>
      </c>
      <c r="B560" s="12">
        <v>46187.0</v>
      </c>
      <c r="C560" s="13" t="str">
        <f t="shared" si="1"/>
        <v>2026-06</v>
      </c>
      <c r="D560" s="12">
        <v>46204.0</v>
      </c>
      <c r="E560" s="12">
        <v>46214.0</v>
      </c>
      <c r="F560" s="2" t="s">
        <v>155</v>
      </c>
      <c r="G560" s="2" t="str">
        <f>VLOOKUP(F560,Tabela_1[#ALL],2,0)</f>
        <v>Nutrigrão ME</v>
      </c>
      <c r="H560" s="2" t="str">
        <f>VLOOKUP(F560,Tabela_1[#ALL],3,0)</f>
        <v>alimenticio</v>
      </c>
      <c r="I560" s="2" t="s">
        <v>39</v>
      </c>
      <c r="J560" s="2">
        <v>2.0</v>
      </c>
      <c r="K560" s="14">
        <v>36086.4</v>
      </c>
      <c r="L560" s="14">
        <v>30716.4</v>
      </c>
      <c r="M560" s="14">
        <v>5370.0</v>
      </c>
      <c r="N560" s="14">
        <v>228.0</v>
      </c>
      <c r="O560" s="14">
        <f t="shared" si="2"/>
        <v>5142</v>
      </c>
      <c r="P560" s="2" t="s">
        <v>2599</v>
      </c>
    </row>
    <row r="561" ht="22.5" customHeight="1">
      <c r="A561" s="2" t="s">
        <v>2135</v>
      </c>
      <c r="B561" s="12">
        <v>46187.0</v>
      </c>
      <c r="C561" s="13" t="str">
        <f t="shared" si="1"/>
        <v>2026-06</v>
      </c>
      <c r="D561" s="12">
        <v>46209.0</v>
      </c>
      <c r="E561" s="12">
        <v>46206.0</v>
      </c>
      <c r="F561" s="2" t="s">
        <v>183</v>
      </c>
      <c r="G561" s="2" t="str">
        <f>VLOOKUP(F561,Tabela_1[#ALL],2,0)</f>
        <v>Distrib. Litoral Sul S.A.</v>
      </c>
      <c r="H561" s="2" t="str">
        <f>VLOOKUP(F561,Tabela_1[#ALL],3,0)</f>
        <v>distribuidor</v>
      </c>
      <c r="I561" s="2" t="s">
        <v>39</v>
      </c>
      <c r="J561" s="2">
        <v>2.0</v>
      </c>
      <c r="K561" s="14">
        <v>15489.6</v>
      </c>
      <c r="L561" s="14">
        <v>13184.6</v>
      </c>
      <c r="M561" s="14">
        <v>2305.0</v>
      </c>
      <c r="N561" s="14">
        <v>2012.0</v>
      </c>
      <c r="O561" s="14">
        <f t="shared" si="2"/>
        <v>293</v>
      </c>
      <c r="P561" s="2" t="s">
        <v>2597</v>
      </c>
    </row>
    <row r="562" ht="22.5" customHeight="1">
      <c r="A562" s="2" t="s">
        <v>2138</v>
      </c>
      <c r="B562" s="12">
        <v>46187.0</v>
      </c>
      <c r="C562" s="13" t="str">
        <f t="shared" si="1"/>
        <v>2026-06</v>
      </c>
      <c r="D562" s="12">
        <v>46210.0</v>
      </c>
      <c r="E562" s="12">
        <v>46207.0</v>
      </c>
      <c r="F562" s="2" t="s">
        <v>215</v>
      </c>
      <c r="G562" s="2" t="str">
        <f>VLOOKUP(F562,Tabela_1[#ALL],2,0)</f>
        <v>Lumen Beauty EPP</v>
      </c>
      <c r="H562" s="2" t="str">
        <f>VLOOKUP(F562,Tabela_1[#ALL],3,0)</f>
        <v>cosmetico</v>
      </c>
      <c r="I562" s="2" t="s">
        <v>22</v>
      </c>
      <c r="J562" s="2">
        <v>2.0</v>
      </c>
      <c r="K562" s="14">
        <v>28089.6</v>
      </c>
      <c r="L562" s="14">
        <v>22739.2</v>
      </c>
      <c r="M562" s="14">
        <v>5350.4</v>
      </c>
      <c r="N562" s="14">
        <v>2957.0</v>
      </c>
      <c r="O562" s="14">
        <f t="shared" si="2"/>
        <v>2393.4</v>
      </c>
      <c r="P562" s="2" t="s">
        <v>2597</v>
      </c>
    </row>
    <row r="563" ht="22.5" customHeight="1">
      <c r="A563" s="2" t="s">
        <v>2141</v>
      </c>
      <c r="B563" s="12">
        <v>46188.0</v>
      </c>
      <c r="C563" s="13" t="str">
        <f t="shared" si="1"/>
        <v>2026-06</v>
      </c>
      <c r="D563" s="12">
        <v>46223.0</v>
      </c>
      <c r="E563" s="12">
        <v>46222.0</v>
      </c>
      <c r="F563" s="2" t="s">
        <v>10</v>
      </c>
      <c r="G563" s="2" t="str">
        <f>VLOOKUP(F563,Tabela_1[#ALL],2,0)</f>
        <v>AgroMar</v>
      </c>
      <c r="H563" s="2" t="str">
        <f>VLOOKUP(F563,Tabela_1[#ALL],3,0)</f>
        <v>alimenticio</v>
      </c>
      <c r="I563" s="2" t="s">
        <v>16</v>
      </c>
      <c r="J563" s="2">
        <v>1.0</v>
      </c>
      <c r="K563" s="14">
        <v>232835.2</v>
      </c>
      <c r="L563" s="14">
        <v>181342.8</v>
      </c>
      <c r="M563" s="14">
        <v>51492.4</v>
      </c>
      <c r="N563" s="14">
        <v>11340.0</v>
      </c>
      <c r="O563" s="14">
        <f t="shared" si="2"/>
        <v>40152.4</v>
      </c>
      <c r="P563" s="2" t="s">
        <v>2597</v>
      </c>
    </row>
    <row r="564" ht="22.5" customHeight="1">
      <c r="A564" s="2" t="s">
        <v>2145</v>
      </c>
      <c r="B564" s="12">
        <v>46188.0</v>
      </c>
      <c r="C564" s="13" t="str">
        <f t="shared" si="1"/>
        <v>2026-06</v>
      </c>
      <c r="D564" s="12">
        <v>46206.0</v>
      </c>
      <c r="E564" s="12">
        <v>46205.0</v>
      </c>
      <c r="F564" s="2" t="s">
        <v>51</v>
      </c>
      <c r="G564" s="2" t="str">
        <f>VLOOKUP(F564,Tabela_1[#ALL],2,0)</f>
        <v>LogiPack</v>
      </c>
      <c r="H564" s="2" t="str">
        <f>VLOOKUP(F564,Tabela_1[#ALL],3,0)</f>
        <v>logistica</v>
      </c>
      <c r="I564" s="2" t="s">
        <v>56</v>
      </c>
      <c r="J564" s="2">
        <v>2.0</v>
      </c>
      <c r="K564" s="14">
        <v>85317.5</v>
      </c>
      <c r="L564" s="14">
        <v>71558.8</v>
      </c>
      <c r="M564" s="14">
        <v>13758.7</v>
      </c>
      <c r="N564" s="14">
        <v>2290.0</v>
      </c>
      <c r="O564" s="14">
        <f t="shared" si="2"/>
        <v>11468.7</v>
      </c>
      <c r="P564" s="2" t="s">
        <v>2597</v>
      </c>
    </row>
    <row r="565" ht="22.5" customHeight="1">
      <c r="A565" s="2" t="s">
        <v>2149</v>
      </c>
      <c r="B565" s="12">
        <v>46188.0</v>
      </c>
      <c r="C565" s="13" t="str">
        <f t="shared" si="1"/>
        <v>2026-06</v>
      </c>
      <c r="D565" s="12">
        <v>46221.0</v>
      </c>
      <c r="E565" s="12">
        <v>46221.0</v>
      </c>
      <c r="F565" s="2" t="s">
        <v>92</v>
      </c>
      <c r="G565" s="2" t="str">
        <f>VLOOKUP(F565,Tabela_1[#ALL],2,0)</f>
        <v>EssenciaPura</v>
      </c>
      <c r="H565" s="2" t="str">
        <f>VLOOKUP(F565,Tabela_1[#ALL],3,0)</f>
        <v>cosmetico</v>
      </c>
      <c r="I565" s="2" t="s">
        <v>39</v>
      </c>
      <c r="J565" s="2">
        <v>1.0</v>
      </c>
      <c r="K565" s="14">
        <v>8044.4</v>
      </c>
      <c r="L565" s="14">
        <v>6743.1</v>
      </c>
      <c r="M565" s="14">
        <v>1301.3</v>
      </c>
      <c r="N565" s="14">
        <v>1457.0</v>
      </c>
      <c r="O565" s="14">
        <f t="shared" si="2"/>
        <v>-155.7</v>
      </c>
      <c r="P565" s="2" t="s">
        <v>2597</v>
      </c>
    </row>
    <row r="566" ht="22.5" customHeight="1">
      <c r="A566" s="2" t="s">
        <v>2151</v>
      </c>
      <c r="B566" s="12">
        <v>46188.0</v>
      </c>
      <c r="C566" s="13" t="str">
        <f t="shared" si="1"/>
        <v>2026-06</v>
      </c>
      <c r="D566" s="12">
        <v>46211.0</v>
      </c>
      <c r="F566" s="2" t="s">
        <v>103</v>
      </c>
      <c r="G566" s="2" t="str">
        <f>VLOOKUP(F566,Tabela_1[#ALL],2,0)</f>
        <v>Sabor da Terra</v>
      </c>
      <c r="H566" s="2" t="str">
        <f>VLOOKUP(F566,Tabela_1[#ALL],3,0)</f>
        <v>alimenticio</v>
      </c>
      <c r="I566" s="2" t="s">
        <v>91</v>
      </c>
      <c r="J566" s="2">
        <v>1.0</v>
      </c>
      <c r="K566" s="14">
        <v>4095.0</v>
      </c>
      <c r="L566" s="14">
        <v>3213.0</v>
      </c>
      <c r="M566" s="14">
        <v>882.0</v>
      </c>
      <c r="N566" s="14">
        <v>2364.0</v>
      </c>
      <c r="O566" s="14">
        <f t="shared" si="2"/>
        <v>-1482</v>
      </c>
      <c r="P566" s="2" t="s">
        <v>2600</v>
      </c>
    </row>
    <row r="567" ht="22.5" customHeight="1">
      <c r="A567" s="2" t="s">
        <v>2152</v>
      </c>
      <c r="B567" s="12">
        <v>46188.0</v>
      </c>
      <c r="C567" s="13" t="str">
        <f t="shared" si="1"/>
        <v>2026-06</v>
      </c>
      <c r="D567" s="12">
        <v>46204.0</v>
      </c>
      <c r="F567" s="2" t="s">
        <v>128</v>
      </c>
      <c r="G567" s="2" t="str">
        <f>VLOOKUP(F567,Tabela_1[#ALL],2,0)</f>
        <v>EnviaTudo Cooperativa</v>
      </c>
      <c r="H567" s="2" t="str">
        <f>VLOOKUP(F567,Tabela_1[#ALL],3,0)</f>
        <v>ecommerce</v>
      </c>
      <c r="I567" s="2" t="s">
        <v>56</v>
      </c>
      <c r="J567" s="2">
        <v>1.0</v>
      </c>
      <c r="K567" s="14">
        <v>11764.2</v>
      </c>
      <c r="L567" s="14">
        <v>9523.4</v>
      </c>
      <c r="M567" s="14">
        <v>2240.8</v>
      </c>
      <c r="N567" s="14">
        <v>7169.0</v>
      </c>
      <c r="O567" s="14">
        <f t="shared" si="2"/>
        <v>-4928.2</v>
      </c>
      <c r="P567" s="2" t="s">
        <v>2601</v>
      </c>
    </row>
    <row r="568" ht="22.5" customHeight="1">
      <c r="A568" s="2" t="s">
        <v>2154</v>
      </c>
      <c r="B568" s="12">
        <v>46188.0</v>
      </c>
      <c r="C568" s="13" t="str">
        <f t="shared" si="1"/>
        <v>2026-06</v>
      </c>
      <c r="D568" s="12">
        <v>46207.0</v>
      </c>
      <c r="F568" s="2" t="s">
        <v>147</v>
      </c>
      <c r="G568" s="2" t="str">
        <f>VLOOKUP(F568,Tabela_1[#ALL],2,0)</f>
        <v>Vivê Beauty ME</v>
      </c>
      <c r="H568" s="2" t="str">
        <f>VLOOKUP(F568,Tabela_1[#ALL],3,0)</f>
        <v>cosmetico</v>
      </c>
      <c r="I568" s="2" t="s">
        <v>91</v>
      </c>
      <c r="J568" s="2">
        <v>1.0</v>
      </c>
      <c r="K568" s="14">
        <v>971.6</v>
      </c>
      <c r="L568" s="14">
        <v>867.5</v>
      </c>
      <c r="M568" s="14">
        <v>104.1</v>
      </c>
      <c r="N568" s="14">
        <v>75.0</v>
      </c>
      <c r="O568" s="14">
        <f t="shared" si="2"/>
        <v>29.1</v>
      </c>
      <c r="P568" s="2" t="s">
        <v>2598</v>
      </c>
    </row>
    <row r="569" ht="22.5" customHeight="1">
      <c r="A569" s="2" t="s">
        <v>2158</v>
      </c>
      <c r="B569" s="12">
        <v>46188.0</v>
      </c>
      <c r="C569" s="13" t="str">
        <f t="shared" si="1"/>
        <v>2026-06</v>
      </c>
      <c r="D569" s="12">
        <v>46220.0</v>
      </c>
      <c r="E569" s="12">
        <v>46217.0</v>
      </c>
      <c r="F569" s="2" t="s">
        <v>185</v>
      </c>
      <c r="G569" s="2" t="str">
        <f>VLOOKUP(F569,Tabela_1[#ALL],2,0)</f>
        <v>Floratta Cosméticos S.A.</v>
      </c>
      <c r="H569" s="2" t="str">
        <f>VLOOKUP(F569,Tabela_1[#ALL],3,0)</f>
        <v>cosmetico</v>
      </c>
      <c r="I569" s="2" t="s">
        <v>22</v>
      </c>
      <c r="J569" s="2">
        <v>2.0</v>
      </c>
      <c r="K569" s="14">
        <v>11444.6</v>
      </c>
      <c r="L569" s="14">
        <v>9122.2</v>
      </c>
      <c r="M569" s="14">
        <v>2322.4</v>
      </c>
      <c r="N569" s="14">
        <v>1882.0</v>
      </c>
      <c r="O569" s="14">
        <f t="shared" si="2"/>
        <v>440.4</v>
      </c>
      <c r="P569" s="2" t="s">
        <v>2597</v>
      </c>
    </row>
    <row r="570" ht="22.5" customHeight="1">
      <c r="A570" s="2" t="s">
        <v>2160</v>
      </c>
      <c r="B570" s="12">
        <v>46188.0</v>
      </c>
      <c r="C570" s="13" t="str">
        <f t="shared" si="1"/>
        <v>2026-06</v>
      </c>
      <c r="D570" s="12">
        <v>46218.0</v>
      </c>
      <c r="F570" s="2" t="s">
        <v>225</v>
      </c>
      <c r="G570" s="2" t="str">
        <f>VLOOKUP(F570,Tabela_1[#ALL],2,0)</f>
        <v>Laticínios Boa Vista EPP</v>
      </c>
      <c r="H570" s="2" t="str">
        <f>VLOOKUP(F570,Tabela_1[#ALL],3,0)</f>
        <v>alimenticio</v>
      </c>
      <c r="I570" s="2" t="s">
        <v>49</v>
      </c>
      <c r="J570" s="2">
        <v>3.0</v>
      </c>
      <c r="K570" s="14">
        <v>25426.8</v>
      </c>
      <c r="L570" s="14">
        <v>20583.6</v>
      </c>
      <c r="M570" s="14">
        <v>4843.2</v>
      </c>
      <c r="N570" s="14">
        <v>853.0</v>
      </c>
      <c r="O570" s="14">
        <f t="shared" si="2"/>
        <v>3990.2</v>
      </c>
      <c r="P570" s="2" t="s">
        <v>2598</v>
      </c>
    </row>
    <row r="571" ht="22.5" customHeight="1">
      <c r="A571" s="2" t="s">
        <v>2162</v>
      </c>
      <c r="B571" s="12">
        <v>46189.0</v>
      </c>
      <c r="C571" s="13" t="str">
        <f t="shared" si="1"/>
        <v>2026-06</v>
      </c>
      <c r="D571" s="12">
        <v>46214.0</v>
      </c>
      <c r="E571" s="12">
        <v>46213.0</v>
      </c>
      <c r="F571" s="2" t="s">
        <v>51</v>
      </c>
      <c r="G571" s="2" t="str">
        <f>VLOOKUP(F571,Tabela_1[#ALL],2,0)</f>
        <v>LogiPack</v>
      </c>
      <c r="H571" s="2" t="str">
        <f>VLOOKUP(F571,Tabela_1[#ALL],3,0)</f>
        <v>logistica</v>
      </c>
      <c r="I571" s="2" t="s">
        <v>56</v>
      </c>
      <c r="J571" s="2">
        <v>3.0</v>
      </c>
      <c r="K571" s="14">
        <v>78121.8</v>
      </c>
      <c r="L571" s="14">
        <v>66933.1</v>
      </c>
      <c r="M571" s="14">
        <v>11188.7</v>
      </c>
      <c r="N571" s="14">
        <v>1408.0</v>
      </c>
      <c r="O571" s="14">
        <f t="shared" si="2"/>
        <v>9780.7</v>
      </c>
      <c r="P571" s="2" t="s">
        <v>2597</v>
      </c>
    </row>
    <row r="572" ht="22.5" customHeight="1">
      <c r="A572" s="2" t="s">
        <v>2166</v>
      </c>
      <c r="B572" s="12">
        <v>46189.0</v>
      </c>
      <c r="C572" s="13" t="str">
        <f t="shared" si="1"/>
        <v>2026-06</v>
      </c>
      <c r="D572" s="12">
        <v>46220.0</v>
      </c>
      <c r="F572" s="2" t="s">
        <v>98</v>
      </c>
      <c r="G572" s="2" t="str">
        <f>VLOOKUP(F572,Tabela_1[#ALL],2,0)</f>
        <v>Atacarejo Maringá</v>
      </c>
      <c r="H572" s="2" t="str">
        <f>VLOOKUP(F572,Tabela_1[#ALL],3,0)</f>
        <v>distribuidor</v>
      </c>
      <c r="I572" s="2" t="s">
        <v>43</v>
      </c>
      <c r="J572" s="2">
        <v>3.0</v>
      </c>
      <c r="K572" s="14">
        <v>10728.8</v>
      </c>
      <c r="L572" s="14">
        <v>8699.6</v>
      </c>
      <c r="M572" s="14">
        <v>2029.2</v>
      </c>
      <c r="N572" s="14">
        <v>2704.0</v>
      </c>
      <c r="O572" s="14">
        <f t="shared" si="2"/>
        <v>-674.8</v>
      </c>
      <c r="P572" s="2" t="s">
        <v>2598</v>
      </c>
    </row>
    <row r="573" ht="22.5" customHeight="1">
      <c r="A573" s="2" t="s">
        <v>2168</v>
      </c>
      <c r="B573" s="12">
        <v>46189.0</v>
      </c>
      <c r="C573" s="13" t="str">
        <f t="shared" si="1"/>
        <v>2026-06</v>
      </c>
      <c r="D573" s="12">
        <v>46219.0</v>
      </c>
      <c r="E573" s="12">
        <v>46221.0</v>
      </c>
      <c r="F573" s="2" t="s">
        <v>165</v>
      </c>
      <c r="G573" s="2" t="str">
        <f>VLOOKUP(F573,Tabela_1[#ALL],2,0)</f>
        <v>Laticínios Boa Vista Comércio</v>
      </c>
      <c r="H573" s="2" t="str">
        <f>VLOOKUP(F573,Tabela_1[#ALL],3,0)</f>
        <v>alimenticio</v>
      </c>
      <c r="I573" s="2" t="s">
        <v>39</v>
      </c>
      <c r="J573" s="2">
        <v>1.0</v>
      </c>
      <c r="K573" s="14">
        <v>18788.0</v>
      </c>
      <c r="L573" s="14">
        <v>16775.0</v>
      </c>
      <c r="M573" s="14">
        <v>2013.0</v>
      </c>
      <c r="N573" s="14">
        <v>2174.0</v>
      </c>
      <c r="O573" s="14">
        <f t="shared" si="2"/>
        <v>-161</v>
      </c>
      <c r="P573" s="2" t="s">
        <v>2597</v>
      </c>
    </row>
    <row r="574" ht="22.5" customHeight="1">
      <c r="A574" s="2" t="s">
        <v>2169</v>
      </c>
      <c r="B574" s="12">
        <v>46189.0</v>
      </c>
      <c r="C574" s="13" t="str">
        <f t="shared" si="1"/>
        <v>2026-06</v>
      </c>
      <c r="D574" s="12">
        <v>46220.0</v>
      </c>
      <c r="E574" s="12">
        <v>46218.0</v>
      </c>
      <c r="F574" s="2" t="s">
        <v>193</v>
      </c>
      <c r="G574" s="2" t="str">
        <f>VLOOKUP(F574,Tabela_1[#ALL],2,0)</f>
        <v>Vita Floral S.A.</v>
      </c>
      <c r="H574" s="2" t="str">
        <f>VLOOKUP(F574,Tabela_1[#ALL],3,0)</f>
        <v>cosmetico</v>
      </c>
      <c r="I574" s="2" t="s">
        <v>56</v>
      </c>
      <c r="J574" s="2">
        <v>3.0</v>
      </c>
      <c r="K574" s="14">
        <v>8729.7</v>
      </c>
      <c r="L574" s="14">
        <v>6734.4</v>
      </c>
      <c r="M574" s="14">
        <v>1995.3</v>
      </c>
      <c r="N574" s="14">
        <v>5532.0</v>
      </c>
      <c r="O574" s="14">
        <f t="shared" si="2"/>
        <v>-3536.7</v>
      </c>
      <c r="P574" s="2" t="s">
        <v>2597</v>
      </c>
    </row>
    <row r="575" ht="22.5" customHeight="1">
      <c r="A575" s="2" t="s">
        <v>2172</v>
      </c>
      <c r="B575" s="12">
        <v>46189.0</v>
      </c>
      <c r="C575" s="13" t="str">
        <f t="shared" si="1"/>
        <v>2026-06</v>
      </c>
      <c r="D575" s="12">
        <v>46207.0</v>
      </c>
      <c r="E575" s="12">
        <v>46204.0</v>
      </c>
      <c r="F575" s="2" t="s">
        <v>211</v>
      </c>
      <c r="G575" s="2" t="str">
        <f>VLOOKUP(F575,Tabela_1[#ALL],2,0)</f>
        <v>PackExpress S.A.</v>
      </c>
      <c r="H575" s="2" t="str">
        <f>VLOOKUP(F575,Tabela_1[#ALL],3,0)</f>
        <v>ecommerce</v>
      </c>
      <c r="I575" s="2" t="s">
        <v>91</v>
      </c>
      <c r="J575" s="2">
        <v>2.0</v>
      </c>
      <c r="K575" s="14">
        <v>4442.2</v>
      </c>
      <c r="L575" s="14">
        <v>3781.1</v>
      </c>
      <c r="M575" s="14">
        <v>661.1</v>
      </c>
      <c r="N575" s="14">
        <v>875.0</v>
      </c>
      <c r="O575" s="14">
        <f t="shared" si="2"/>
        <v>-213.9</v>
      </c>
      <c r="P575" s="2" t="s">
        <v>2597</v>
      </c>
    </row>
    <row r="576" ht="22.5" customHeight="1">
      <c r="A576" s="2" t="s">
        <v>2176</v>
      </c>
      <c r="B576" s="12">
        <v>46189.0</v>
      </c>
      <c r="C576" s="13" t="str">
        <f t="shared" si="1"/>
        <v>2026-06</v>
      </c>
      <c r="D576" s="12">
        <v>46220.0</v>
      </c>
      <c r="E576" s="12">
        <v>46220.0</v>
      </c>
      <c r="F576" s="2" t="s">
        <v>235</v>
      </c>
      <c r="G576" s="2" t="str">
        <f>VLOOKUP(F576,Tabela_1[#ALL],2,0)</f>
        <v>Saúde Total Labs Comércio</v>
      </c>
      <c r="H576" s="2" t="str">
        <f>VLOOKUP(F576,Tabela_1[#ALL],3,0)</f>
        <v>farmaceutico</v>
      </c>
      <c r="I576" s="2" t="s">
        <v>39</v>
      </c>
      <c r="J576" s="2">
        <v>3.0</v>
      </c>
      <c r="K576" s="14">
        <v>17425.0</v>
      </c>
      <c r="L576" s="14">
        <v>14606.25</v>
      </c>
      <c r="M576" s="14">
        <v>2818.75</v>
      </c>
      <c r="N576" s="14">
        <v>155.0</v>
      </c>
      <c r="O576" s="14">
        <f t="shared" si="2"/>
        <v>2663.75</v>
      </c>
      <c r="P576" s="2" t="s">
        <v>2597</v>
      </c>
    </row>
    <row r="577" ht="22.5" customHeight="1">
      <c r="A577" s="2" t="s">
        <v>2180</v>
      </c>
      <c r="B577" s="12">
        <v>46189.0</v>
      </c>
      <c r="C577" s="13" t="str">
        <f t="shared" si="1"/>
        <v>2026-06</v>
      </c>
      <c r="D577" s="12">
        <v>46222.0</v>
      </c>
      <c r="E577" s="12">
        <v>46224.0</v>
      </c>
      <c r="F577" s="2" t="s">
        <v>235</v>
      </c>
      <c r="G577" s="2" t="str">
        <f>VLOOKUP(F577,Tabela_1[#ALL],2,0)</f>
        <v>Saúde Total Labs Comércio</v>
      </c>
      <c r="H577" s="2" t="str">
        <f>VLOOKUP(F577,Tabela_1[#ALL],3,0)</f>
        <v>farmaceutico</v>
      </c>
      <c r="I577" s="2" t="s">
        <v>39</v>
      </c>
      <c r="J577" s="2">
        <v>1.0</v>
      </c>
      <c r="K577" s="14">
        <v>21932.4</v>
      </c>
      <c r="L577" s="14">
        <v>17232.6</v>
      </c>
      <c r="M577" s="14">
        <v>4699.8</v>
      </c>
      <c r="N577" s="14">
        <v>117.0</v>
      </c>
      <c r="O577" s="14">
        <f t="shared" si="2"/>
        <v>4582.8</v>
      </c>
      <c r="P577" s="2" t="s">
        <v>2597</v>
      </c>
    </row>
    <row r="578" ht="22.5" customHeight="1">
      <c r="A578" s="2" t="s">
        <v>2183</v>
      </c>
      <c r="B578" s="12">
        <v>46189.0</v>
      </c>
      <c r="C578" s="13" t="str">
        <f t="shared" si="1"/>
        <v>2026-06</v>
      </c>
      <c r="D578" s="12">
        <v>46214.0</v>
      </c>
      <c r="F578" s="2" t="s">
        <v>239</v>
      </c>
      <c r="G578" s="2" t="str">
        <f>VLOOKUP(F578,Tabela_1[#ALL],2,0)</f>
        <v>FreteFix Comércio</v>
      </c>
      <c r="H578" s="2" t="str">
        <f>VLOOKUP(F578,Tabela_1[#ALL],3,0)</f>
        <v>logistica</v>
      </c>
      <c r="I578" s="2" t="s">
        <v>56</v>
      </c>
      <c r="J578" s="2">
        <v>1.0</v>
      </c>
      <c r="K578" s="14">
        <v>15906.8</v>
      </c>
      <c r="L578" s="14">
        <v>14202.5</v>
      </c>
      <c r="M578" s="14">
        <v>1704.3</v>
      </c>
      <c r="N578" s="14">
        <v>1893.0</v>
      </c>
      <c r="O578" s="14">
        <f t="shared" si="2"/>
        <v>-188.7</v>
      </c>
      <c r="P578" s="2" t="s">
        <v>2600</v>
      </c>
    </row>
    <row r="579" ht="22.5" customHeight="1">
      <c r="A579" s="2" t="s">
        <v>2187</v>
      </c>
      <c r="B579" s="12">
        <v>46189.0</v>
      </c>
      <c r="C579" s="13" t="str">
        <f t="shared" si="1"/>
        <v>2026-06</v>
      </c>
      <c r="D579" s="12">
        <v>46206.0</v>
      </c>
      <c r="E579" s="12">
        <v>46205.0</v>
      </c>
      <c r="F579" s="2" t="s">
        <v>255</v>
      </c>
      <c r="G579" s="2" t="str">
        <f>VLOOKUP(F579,Tabela_1[#ALL],2,0)</f>
        <v>Lumen Beauty EPP (Apucarana)</v>
      </c>
      <c r="H579" s="2" t="str">
        <f>VLOOKUP(F579,Tabela_1[#ALL],3,0)</f>
        <v>cosmetico</v>
      </c>
      <c r="I579" s="2" t="s">
        <v>39</v>
      </c>
      <c r="J579" s="2">
        <v>1.0</v>
      </c>
      <c r="K579" s="14">
        <v>22459.8</v>
      </c>
      <c r="L579" s="14">
        <v>16981.8</v>
      </c>
      <c r="M579" s="14">
        <v>5478.0</v>
      </c>
      <c r="N579" s="14">
        <v>2195.0</v>
      </c>
      <c r="O579" s="14">
        <f t="shared" si="2"/>
        <v>3283</v>
      </c>
      <c r="P579" s="2" t="s">
        <v>2597</v>
      </c>
    </row>
    <row r="580" ht="22.5" customHeight="1">
      <c r="A580" s="2" t="s">
        <v>2190</v>
      </c>
      <c r="B580" s="12">
        <v>46190.0</v>
      </c>
      <c r="C580" s="13" t="str">
        <f t="shared" si="1"/>
        <v>2026-06</v>
      </c>
      <c r="D580" s="12">
        <v>46224.0</v>
      </c>
      <c r="F580" s="2" t="s">
        <v>28</v>
      </c>
      <c r="G580" s="2" t="str">
        <f>VLOOKUP(F580,Tabela_1[#ALL],2,0)</f>
        <v>CoopFrigo</v>
      </c>
      <c r="H580" s="2" t="str">
        <f>VLOOKUP(F580,Tabela_1[#ALL],3,0)</f>
        <v>alimenticio</v>
      </c>
      <c r="I580" s="2" t="s">
        <v>16</v>
      </c>
      <c r="J580" s="2">
        <v>1.0</v>
      </c>
      <c r="K580" s="14">
        <v>145912.0</v>
      </c>
      <c r="L580" s="14">
        <v>114484.8</v>
      </c>
      <c r="M580" s="14">
        <v>31427.2</v>
      </c>
      <c r="N580" s="14">
        <v>1320.0</v>
      </c>
      <c r="O580" s="14">
        <f t="shared" si="2"/>
        <v>30107.2</v>
      </c>
      <c r="P580" s="2" t="s">
        <v>2598</v>
      </c>
    </row>
    <row r="581" ht="22.5" customHeight="1">
      <c r="A581" s="2" t="s">
        <v>2193</v>
      </c>
      <c r="B581" s="12">
        <v>46190.0</v>
      </c>
      <c r="C581" s="13" t="str">
        <f t="shared" si="1"/>
        <v>2026-06</v>
      </c>
      <c r="D581" s="12">
        <v>46216.0</v>
      </c>
      <c r="E581" s="12">
        <v>46215.0</v>
      </c>
      <c r="F581" s="2" t="s">
        <v>40</v>
      </c>
      <c r="G581" s="2" t="str">
        <f>VLOOKUP(F581,Tabela_1[#ALL],2,0)</f>
        <v>Farmavida</v>
      </c>
      <c r="H581" s="2" t="str">
        <f>VLOOKUP(F581,Tabela_1[#ALL],3,0)</f>
        <v>farmaceutico</v>
      </c>
      <c r="I581" s="2" t="s">
        <v>43</v>
      </c>
      <c r="J581" s="2">
        <v>2.0</v>
      </c>
      <c r="K581" s="14">
        <v>115262.4</v>
      </c>
      <c r="L581" s="14">
        <v>88505.1</v>
      </c>
      <c r="M581" s="14">
        <v>26757.3</v>
      </c>
      <c r="N581" s="14">
        <v>6783.0</v>
      </c>
      <c r="O581" s="14">
        <f t="shared" si="2"/>
        <v>19974.3</v>
      </c>
      <c r="P581" s="2" t="s">
        <v>2597</v>
      </c>
    </row>
    <row r="582" ht="22.5" customHeight="1">
      <c r="A582" s="2" t="s">
        <v>2199</v>
      </c>
      <c r="B582" s="12">
        <v>46190.0</v>
      </c>
      <c r="C582" s="13" t="str">
        <f t="shared" si="1"/>
        <v>2026-06</v>
      </c>
      <c r="D582" s="12">
        <v>46221.0</v>
      </c>
      <c r="E582" s="12">
        <v>46223.0</v>
      </c>
      <c r="F582" s="2" t="s">
        <v>74</v>
      </c>
      <c r="G582" s="2" t="str">
        <f>VLOOKUP(F582,Tabela_1[#ALL],2,0)</f>
        <v>EnvioFácil</v>
      </c>
      <c r="H582" s="2" t="str">
        <f>VLOOKUP(F582,Tabela_1[#ALL],3,0)</f>
        <v>ecommerce</v>
      </c>
      <c r="I582" s="2" t="s">
        <v>56</v>
      </c>
      <c r="J582" s="2">
        <v>1.0</v>
      </c>
      <c r="K582" s="14">
        <v>3738.0</v>
      </c>
      <c r="L582" s="14">
        <v>3337.5</v>
      </c>
      <c r="M582" s="14">
        <v>400.5</v>
      </c>
      <c r="N582" s="14">
        <v>1676.0</v>
      </c>
      <c r="O582" s="14">
        <f t="shared" si="2"/>
        <v>-1275.5</v>
      </c>
      <c r="P582" s="2" t="s">
        <v>2597</v>
      </c>
    </row>
    <row r="583" ht="22.5" customHeight="1">
      <c r="A583" s="2" t="s">
        <v>2201</v>
      </c>
      <c r="B583" s="12">
        <v>46190.0</v>
      </c>
      <c r="C583" s="13" t="str">
        <f t="shared" si="1"/>
        <v>2026-06</v>
      </c>
      <c r="D583" s="12">
        <v>46220.0</v>
      </c>
      <c r="E583" s="12">
        <v>46220.0</v>
      </c>
      <c r="F583" s="2" t="s">
        <v>81</v>
      </c>
      <c r="G583" s="2" t="str">
        <f>VLOOKUP(F583,Tabela_1[#ALL],2,0)</f>
        <v>Padaria Aurora</v>
      </c>
      <c r="H583" s="2" t="str">
        <f>VLOOKUP(F583,Tabela_1[#ALL],3,0)</f>
        <v>outros</v>
      </c>
      <c r="I583" s="2" t="s">
        <v>85</v>
      </c>
      <c r="J583" s="2">
        <v>1.0</v>
      </c>
      <c r="K583" s="14">
        <v>3158.4</v>
      </c>
      <c r="L583" s="14">
        <v>2820.0</v>
      </c>
      <c r="M583" s="14">
        <v>338.4</v>
      </c>
      <c r="N583" s="14">
        <v>0.0</v>
      </c>
      <c r="O583" s="14">
        <f t="shared" si="2"/>
        <v>338.4</v>
      </c>
      <c r="P583" s="2" t="s">
        <v>2597</v>
      </c>
    </row>
    <row r="584" ht="22.5" customHeight="1">
      <c r="A584" s="2" t="s">
        <v>2202</v>
      </c>
      <c r="B584" s="12">
        <v>46190.0</v>
      </c>
      <c r="C584" s="13" t="str">
        <f t="shared" si="1"/>
        <v>2026-06</v>
      </c>
      <c r="D584" s="12">
        <v>46205.0</v>
      </c>
      <c r="E584" s="12">
        <v>46202.0</v>
      </c>
      <c r="F584" s="2" t="s">
        <v>88</v>
      </c>
      <c r="G584" s="2" t="str">
        <f>VLOOKUP(F584,Tabela_1[#ALL],2,0)</f>
        <v>Atacadão Centro Oeste</v>
      </c>
      <c r="H584" s="2" t="str">
        <f>VLOOKUP(F584,Tabela_1[#ALL],3,0)</f>
        <v>distribuidor</v>
      </c>
      <c r="I584" s="2" t="s">
        <v>91</v>
      </c>
      <c r="J584" s="2">
        <v>1.0</v>
      </c>
      <c r="K584" s="14">
        <v>7377.5</v>
      </c>
      <c r="L584" s="14">
        <v>5788.5</v>
      </c>
      <c r="M584" s="14">
        <v>1589.0</v>
      </c>
      <c r="N584" s="14">
        <v>651.0</v>
      </c>
      <c r="O584" s="14">
        <f t="shared" si="2"/>
        <v>938</v>
      </c>
      <c r="P584" s="2" t="s">
        <v>2597</v>
      </c>
    </row>
    <row r="585" ht="22.5" customHeight="1">
      <c r="A585" s="2" t="s">
        <v>2203</v>
      </c>
      <c r="B585" s="12">
        <v>46190.0</v>
      </c>
      <c r="C585" s="13" t="str">
        <f t="shared" si="1"/>
        <v>2026-06</v>
      </c>
      <c r="D585" s="12">
        <v>46221.0</v>
      </c>
      <c r="E585" s="12">
        <v>46219.0</v>
      </c>
      <c r="F585" s="2" t="s">
        <v>113</v>
      </c>
      <c r="G585" s="2" t="str">
        <f>VLOOKUP(F585,Tabela_1[#ALL],2,0)</f>
        <v>Sabor Forte Alimentos</v>
      </c>
      <c r="H585" s="2" t="str">
        <f>VLOOKUP(F585,Tabela_1[#ALL],3,0)</f>
        <v>alimenticio</v>
      </c>
      <c r="I585" s="2" t="s">
        <v>39</v>
      </c>
      <c r="J585" s="2">
        <v>2.0</v>
      </c>
      <c r="K585" s="14">
        <v>4748.8</v>
      </c>
      <c r="L585" s="14">
        <v>4240.0</v>
      </c>
      <c r="M585" s="14">
        <v>508.8</v>
      </c>
      <c r="N585" s="14">
        <v>2240.0</v>
      </c>
      <c r="O585" s="14">
        <f t="shared" si="2"/>
        <v>-1731.2</v>
      </c>
      <c r="P585" s="2" t="s">
        <v>2597</v>
      </c>
    </row>
    <row r="586" ht="22.5" customHeight="1">
      <c r="A586" s="2" t="s">
        <v>2205</v>
      </c>
      <c r="B586" s="12">
        <v>46190.0</v>
      </c>
      <c r="C586" s="13" t="str">
        <f t="shared" si="1"/>
        <v>2026-06</v>
      </c>
      <c r="D586" s="12">
        <v>46223.0</v>
      </c>
      <c r="E586" s="12">
        <v>46223.0</v>
      </c>
      <c r="F586" s="2" t="s">
        <v>159</v>
      </c>
      <c r="G586" s="2" t="str">
        <f>VLOOKUP(F586,Tabela_1[#ALL],2,0)</f>
        <v>Biolatina Indústria EPP</v>
      </c>
      <c r="H586" s="2" t="str">
        <f>VLOOKUP(F586,Tabela_1[#ALL],3,0)</f>
        <v>farmaceutico</v>
      </c>
      <c r="I586" s="2" t="s">
        <v>39</v>
      </c>
      <c r="J586" s="2">
        <v>2.0</v>
      </c>
      <c r="K586" s="14">
        <v>25194.2</v>
      </c>
      <c r="L586" s="14">
        <v>21131.3</v>
      </c>
      <c r="M586" s="14">
        <v>4062.9</v>
      </c>
      <c r="N586" s="14">
        <v>697.0</v>
      </c>
      <c r="O586" s="14">
        <f t="shared" si="2"/>
        <v>3365.9</v>
      </c>
      <c r="P586" s="2" t="s">
        <v>2597</v>
      </c>
    </row>
    <row r="587" ht="22.5" customHeight="1">
      <c r="A587" s="2" t="s">
        <v>2209</v>
      </c>
      <c r="B587" s="12">
        <v>46190.0</v>
      </c>
      <c r="C587" s="13" t="str">
        <f t="shared" si="1"/>
        <v>2026-06</v>
      </c>
      <c r="D587" s="12">
        <v>46215.0</v>
      </c>
      <c r="F587" s="2" t="s">
        <v>209</v>
      </c>
      <c r="G587" s="2" t="str">
        <f>VLOOKUP(F587,Tabela_1[#ALL],2,0)</f>
        <v>Ciência da Vida Farma ME</v>
      </c>
      <c r="H587" s="2" t="str">
        <f>VLOOKUP(F587,Tabela_1[#ALL],3,0)</f>
        <v>farmaceutico</v>
      </c>
      <c r="I587" s="2" t="s">
        <v>49</v>
      </c>
      <c r="J587" s="2">
        <v>1.0</v>
      </c>
      <c r="K587" s="14">
        <v>17950.8</v>
      </c>
      <c r="L587" s="14">
        <v>14104.2</v>
      </c>
      <c r="M587" s="14">
        <v>3846.6</v>
      </c>
      <c r="N587" s="14">
        <v>3322.0</v>
      </c>
      <c r="O587" s="14">
        <f t="shared" si="2"/>
        <v>524.6</v>
      </c>
      <c r="P587" s="2" t="s">
        <v>2601</v>
      </c>
    </row>
    <row r="588" ht="22.5" customHeight="1">
      <c r="A588" s="2" t="s">
        <v>2212</v>
      </c>
      <c r="B588" s="12">
        <v>46190.0</v>
      </c>
      <c r="C588" s="13" t="str">
        <f t="shared" si="1"/>
        <v>2026-06</v>
      </c>
      <c r="D588" s="12">
        <v>46212.0</v>
      </c>
      <c r="E588" s="12">
        <v>46209.0</v>
      </c>
      <c r="F588" s="2" t="s">
        <v>219</v>
      </c>
      <c r="G588" s="2" t="str">
        <f>VLOOKUP(F588,Tabela_1[#ALL],2,0)</f>
        <v>Tradição Alimentos Comércio</v>
      </c>
      <c r="H588" s="2" t="str">
        <f>VLOOKUP(F588,Tabela_1[#ALL],3,0)</f>
        <v>alimenticio</v>
      </c>
      <c r="I588" s="2" t="s">
        <v>56</v>
      </c>
      <c r="J588" s="2">
        <v>1.0</v>
      </c>
      <c r="K588" s="14">
        <v>10369.8</v>
      </c>
      <c r="L588" s="14">
        <v>8394.6</v>
      </c>
      <c r="M588" s="14">
        <v>1975.2</v>
      </c>
      <c r="N588" s="14">
        <v>56.0</v>
      </c>
      <c r="O588" s="14">
        <f t="shared" si="2"/>
        <v>1919.2</v>
      </c>
      <c r="P588" s="2" t="s">
        <v>2597</v>
      </c>
    </row>
    <row r="589" ht="22.5" customHeight="1">
      <c r="A589" s="2" t="s">
        <v>2214</v>
      </c>
      <c r="B589" s="12">
        <v>46190.0</v>
      </c>
      <c r="C589" s="13" t="str">
        <f t="shared" si="1"/>
        <v>2026-06</v>
      </c>
      <c r="D589" s="12">
        <v>46209.0</v>
      </c>
      <c r="E589" s="12">
        <v>46210.0</v>
      </c>
      <c r="F589" s="2" t="s">
        <v>233</v>
      </c>
      <c r="G589" s="2" t="str">
        <f>VLOOKUP(F589,Tabela_1[#ALL],2,0)</f>
        <v>Doce Vale Comércio</v>
      </c>
      <c r="H589" s="2" t="str">
        <f>VLOOKUP(F589,Tabela_1[#ALL],3,0)</f>
        <v>alimenticio</v>
      </c>
      <c r="I589" s="2" t="s">
        <v>49</v>
      </c>
      <c r="J589" s="2">
        <v>1.0</v>
      </c>
      <c r="K589" s="14">
        <v>2736.5</v>
      </c>
      <c r="L589" s="14">
        <v>2147.1</v>
      </c>
      <c r="M589" s="14">
        <v>589.4</v>
      </c>
      <c r="N589" s="14">
        <v>2184.0</v>
      </c>
      <c r="O589" s="14">
        <f t="shared" si="2"/>
        <v>-1594.6</v>
      </c>
      <c r="P589" s="2" t="s">
        <v>2597</v>
      </c>
    </row>
    <row r="590" ht="22.5" customHeight="1">
      <c r="A590" s="2" t="s">
        <v>2215</v>
      </c>
      <c r="B590" s="12">
        <v>46190.0</v>
      </c>
      <c r="C590" s="13" t="str">
        <f t="shared" si="1"/>
        <v>2026-06</v>
      </c>
      <c r="D590" s="12">
        <v>46211.0</v>
      </c>
      <c r="F590" s="2" t="s">
        <v>243</v>
      </c>
      <c r="G590" s="2" t="str">
        <f>VLOOKUP(F590,Tabela_1[#ALL],2,0)</f>
        <v>RotaFácil Comércio</v>
      </c>
      <c r="H590" s="2" t="str">
        <f>VLOOKUP(F590,Tabela_1[#ALL],3,0)</f>
        <v>ecommerce</v>
      </c>
      <c r="I590" s="2" t="s">
        <v>22</v>
      </c>
      <c r="J590" s="2">
        <v>1.0</v>
      </c>
      <c r="K590" s="14">
        <v>2236.0</v>
      </c>
      <c r="L590" s="14">
        <v>1754.4</v>
      </c>
      <c r="M590" s="14">
        <v>481.6</v>
      </c>
      <c r="N590" s="14">
        <v>901.0</v>
      </c>
      <c r="O590" s="14">
        <f t="shared" si="2"/>
        <v>-419.4</v>
      </c>
      <c r="P590" s="2" t="s">
        <v>2598</v>
      </c>
    </row>
    <row r="591" ht="22.5" customHeight="1">
      <c r="A591" s="2" t="s">
        <v>2218</v>
      </c>
      <c r="B591" s="12">
        <v>46190.0</v>
      </c>
      <c r="C591" s="13" t="str">
        <f t="shared" si="1"/>
        <v>2026-06</v>
      </c>
      <c r="D591" s="12">
        <v>46224.0</v>
      </c>
      <c r="E591" s="12">
        <v>46226.0</v>
      </c>
      <c r="F591" s="2" t="s">
        <v>249</v>
      </c>
      <c r="G591" s="2" t="str">
        <f>VLOOKUP(F591,Tabela_1[#ALL],2,0)</f>
        <v>Distrib. Litoral Sul EPP</v>
      </c>
      <c r="H591" s="2" t="str">
        <f>VLOOKUP(F591,Tabela_1[#ALL],3,0)</f>
        <v>distribuidor</v>
      </c>
      <c r="I591" s="2" t="s">
        <v>91</v>
      </c>
      <c r="J591" s="2">
        <v>1.0</v>
      </c>
      <c r="K591" s="14">
        <v>50360.8</v>
      </c>
      <c r="L591" s="14">
        <v>44965.0</v>
      </c>
      <c r="M591" s="14">
        <v>5395.8</v>
      </c>
      <c r="N591" s="14">
        <v>1576.0</v>
      </c>
      <c r="O591" s="14">
        <f t="shared" si="2"/>
        <v>3819.8</v>
      </c>
      <c r="P591" s="2" t="s">
        <v>2597</v>
      </c>
    </row>
    <row r="592" ht="22.5" customHeight="1">
      <c r="A592" s="2" t="s">
        <v>2220</v>
      </c>
      <c r="B592" s="12">
        <v>46190.0</v>
      </c>
      <c r="C592" s="13" t="str">
        <f t="shared" si="1"/>
        <v>2026-06</v>
      </c>
      <c r="D592" s="12">
        <v>46217.0</v>
      </c>
      <c r="E592" s="12">
        <v>46215.0</v>
      </c>
      <c r="F592" s="2" t="s">
        <v>251</v>
      </c>
      <c r="G592" s="2" t="str">
        <f>VLOOKUP(F592,Tabela_1[#ALL],2,0)</f>
        <v>Saúde Total Labs S.A.</v>
      </c>
      <c r="H592" s="2" t="str">
        <f>VLOOKUP(F592,Tabela_1[#ALL],3,0)</f>
        <v>farmaceutico</v>
      </c>
      <c r="I592" s="2" t="s">
        <v>49</v>
      </c>
      <c r="J592" s="2">
        <v>3.0</v>
      </c>
      <c r="K592" s="14">
        <v>19210.8</v>
      </c>
      <c r="L592" s="14">
        <v>17152.5</v>
      </c>
      <c r="M592" s="14">
        <v>2058.3</v>
      </c>
      <c r="N592" s="14">
        <v>926.0</v>
      </c>
      <c r="O592" s="14">
        <f t="shared" si="2"/>
        <v>1132.3</v>
      </c>
      <c r="P592" s="2" t="s">
        <v>2597</v>
      </c>
    </row>
    <row r="593" ht="22.5" customHeight="1">
      <c r="A593" s="2" t="s">
        <v>2222</v>
      </c>
      <c r="B593" s="12">
        <v>46190.0</v>
      </c>
      <c r="C593" s="13" t="str">
        <f t="shared" si="1"/>
        <v>2026-06</v>
      </c>
      <c r="D593" s="12">
        <v>46213.0</v>
      </c>
      <c r="E593" s="12">
        <v>46211.0</v>
      </c>
      <c r="F593" s="2" t="s">
        <v>253</v>
      </c>
      <c r="G593" s="2" t="str">
        <f>VLOOKUP(F593,Tabela_1[#ALL],2,0)</f>
        <v>Atacadão Centro Oeste S.A.</v>
      </c>
      <c r="H593" s="2" t="str">
        <f>VLOOKUP(F593,Tabela_1[#ALL],3,0)</f>
        <v>distribuidor</v>
      </c>
      <c r="I593" s="2" t="s">
        <v>22</v>
      </c>
      <c r="J593" s="2">
        <v>1.0</v>
      </c>
      <c r="K593" s="14">
        <v>4953.0</v>
      </c>
      <c r="L593" s="14">
        <v>3886.2</v>
      </c>
      <c r="M593" s="14">
        <v>1066.8</v>
      </c>
      <c r="N593" s="14">
        <v>1463.0</v>
      </c>
      <c r="O593" s="14">
        <f t="shared" si="2"/>
        <v>-396.2</v>
      </c>
      <c r="P593" s="2" t="s">
        <v>2597</v>
      </c>
    </row>
    <row r="594" ht="22.5" customHeight="1">
      <c r="A594" s="2" t="s">
        <v>2224</v>
      </c>
      <c r="B594" s="12">
        <v>46191.0</v>
      </c>
      <c r="C594" s="13" t="str">
        <f t="shared" si="1"/>
        <v>2026-06</v>
      </c>
      <c r="D594" s="12">
        <v>46210.0</v>
      </c>
      <c r="F594" s="2" t="s">
        <v>35</v>
      </c>
      <c r="G594" s="2" t="str">
        <f>VLOOKUP(F594,Tabela_1[#ALL],2,0)</f>
        <v>CoopVale</v>
      </c>
      <c r="H594" s="2" t="str">
        <f>VLOOKUP(F594,Tabela_1[#ALL],3,0)</f>
        <v>alimenticio</v>
      </c>
      <c r="I594" s="2" t="s">
        <v>39</v>
      </c>
      <c r="J594" s="2">
        <v>2.0</v>
      </c>
      <c r="K594" s="14">
        <v>63617.6</v>
      </c>
      <c r="L594" s="14">
        <v>50707.6</v>
      </c>
      <c r="M594" s="14">
        <v>12910.0</v>
      </c>
      <c r="N594" s="14">
        <v>498.0</v>
      </c>
      <c r="O594" s="14">
        <f t="shared" si="2"/>
        <v>12412</v>
      </c>
      <c r="P594" s="2" t="s">
        <v>2600</v>
      </c>
    </row>
    <row r="595" ht="22.5" customHeight="1">
      <c r="A595" s="2" t="s">
        <v>2228</v>
      </c>
      <c r="B595" s="12">
        <v>46191.0</v>
      </c>
      <c r="C595" s="13" t="str">
        <f t="shared" si="1"/>
        <v>2026-06</v>
      </c>
      <c r="D595" s="12">
        <v>46218.0</v>
      </c>
      <c r="E595" s="12">
        <v>46217.0</v>
      </c>
      <c r="F595" s="2" t="s">
        <v>59</v>
      </c>
      <c r="G595" s="2" t="str">
        <f>VLOOKUP(F595,Tabela_1[#ALL],2,0)</f>
        <v>BioGenova</v>
      </c>
      <c r="H595" s="2" t="str">
        <f>VLOOKUP(F595,Tabela_1[#ALL],3,0)</f>
        <v>farmaceutico</v>
      </c>
      <c r="I595" s="2" t="s">
        <v>49</v>
      </c>
      <c r="J595" s="2">
        <v>3.0</v>
      </c>
      <c r="K595" s="14">
        <v>77130.4</v>
      </c>
      <c r="L595" s="14">
        <v>63126.6</v>
      </c>
      <c r="M595" s="14">
        <v>14003.8</v>
      </c>
      <c r="N595" s="14">
        <v>8815.0</v>
      </c>
      <c r="O595" s="14">
        <f t="shared" si="2"/>
        <v>5188.8</v>
      </c>
      <c r="P595" s="2" t="s">
        <v>2597</v>
      </c>
    </row>
    <row r="596" ht="22.5" customHeight="1">
      <c r="A596" s="2" t="s">
        <v>2233</v>
      </c>
      <c r="B596" s="12">
        <v>46191.0</v>
      </c>
      <c r="C596" s="13" t="str">
        <f t="shared" si="1"/>
        <v>2026-06</v>
      </c>
      <c r="D596" s="12">
        <v>46218.0</v>
      </c>
      <c r="E596" s="12">
        <v>46216.0</v>
      </c>
      <c r="F596" s="2" t="s">
        <v>111</v>
      </c>
      <c r="G596" s="2" t="str">
        <f>VLOOKUP(F596,Tabela_1[#ALL],2,0)</f>
        <v>Salutar Farma Comércio</v>
      </c>
      <c r="H596" s="2" t="str">
        <f>VLOOKUP(F596,Tabela_1[#ALL],3,0)</f>
        <v>farmaceutico</v>
      </c>
      <c r="I596" s="2" t="s">
        <v>43</v>
      </c>
      <c r="J596" s="2">
        <v>1.0</v>
      </c>
      <c r="K596" s="14">
        <v>4565.4</v>
      </c>
      <c r="L596" s="14">
        <v>3587.1</v>
      </c>
      <c r="M596" s="14">
        <v>978.3</v>
      </c>
      <c r="N596" s="14">
        <v>3038.0</v>
      </c>
      <c r="O596" s="14">
        <f t="shared" si="2"/>
        <v>-2059.7</v>
      </c>
      <c r="P596" s="2" t="s">
        <v>2597</v>
      </c>
    </row>
    <row r="597" ht="22.5" customHeight="1">
      <c r="A597" s="2" t="s">
        <v>2235</v>
      </c>
      <c r="B597" s="12">
        <v>46191.0</v>
      </c>
      <c r="C597" s="13" t="str">
        <f t="shared" si="1"/>
        <v>2026-06</v>
      </c>
      <c r="D597" s="12">
        <v>46213.0</v>
      </c>
      <c r="E597" s="12">
        <v>46214.0</v>
      </c>
      <c r="F597" s="2" t="s">
        <v>130</v>
      </c>
      <c r="G597" s="2" t="str">
        <f>VLOOKUP(F597,Tabela_1[#ALL],2,0)</f>
        <v>PackExpress Cooperativa</v>
      </c>
      <c r="H597" s="2" t="str">
        <f>VLOOKUP(F597,Tabela_1[#ALL],3,0)</f>
        <v>ecommerce</v>
      </c>
      <c r="I597" s="2" t="s">
        <v>39</v>
      </c>
      <c r="J597" s="2">
        <v>1.0</v>
      </c>
      <c r="K597" s="14">
        <v>17165.4</v>
      </c>
      <c r="L597" s="14">
        <v>13895.8</v>
      </c>
      <c r="M597" s="14">
        <v>3269.6</v>
      </c>
      <c r="N597" s="14">
        <v>3339.0</v>
      </c>
      <c r="O597" s="14">
        <f t="shared" si="2"/>
        <v>-69.4</v>
      </c>
      <c r="P597" s="2" t="s">
        <v>2597</v>
      </c>
    </row>
    <row r="598" ht="22.5" customHeight="1">
      <c r="A598" s="2" t="s">
        <v>2238</v>
      </c>
      <c r="B598" s="12">
        <v>46191.0</v>
      </c>
      <c r="C598" s="13" t="str">
        <f t="shared" si="1"/>
        <v>2026-06</v>
      </c>
      <c r="D598" s="12">
        <v>46207.0</v>
      </c>
      <c r="E598" s="12">
        <v>46209.0</v>
      </c>
      <c r="F598" s="2" t="s">
        <v>181</v>
      </c>
      <c r="G598" s="2" t="str">
        <f>VLOOKUP(F598,Tabela_1[#ALL],2,0)</f>
        <v>Mercatto Comércio</v>
      </c>
      <c r="H598" s="2" t="str">
        <f>VLOOKUP(F598,Tabela_1[#ALL],3,0)</f>
        <v>varejo</v>
      </c>
      <c r="I598" s="2" t="s">
        <v>39</v>
      </c>
      <c r="J598" s="2">
        <v>2.0</v>
      </c>
      <c r="K598" s="14">
        <v>18566.8</v>
      </c>
      <c r="L598" s="14">
        <v>15572.8</v>
      </c>
      <c r="M598" s="14">
        <v>2994.0</v>
      </c>
      <c r="N598" s="14">
        <v>77.0</v>
      </c>
      <c r="O598" s="14">
        <f t="shared" si="2"/>
        <v>2917</v>
      </c>
      <c r="P598" s="2" t="s">
        <v>2597</v>
      </c>
    </row>
    <row r="599" ht="22.5" customHeight="1">
      <c r="A599" s="2" t="s">
        <v>2240</v>
      </c>
      <c r="B599" s="12">
        <v>46191.0</v>
      </c>
      <c r="C599" s="13" t="str">
        <f t="shared" si="1"/>
        <v>2026-06</v>
      </c>
      <c r="D599" s="12">
        <v>46224.0</v>
      </c>
      <c r="E599" s="12">
        <v>46235.0</v>
      </c>
      <c r="F599" s="2" t="s">
        <v>195</v>
      </c>
      <c r="G599" s="2" t="str">
        <f>VLOOKUP(F599,Tabela_1[#ALL],2,0)</f>
        <v>Lumen Beauty</v>
      </c>
      <c r="H599" s="2" t="str">
        <f>VLOOKUP(F599,Tabela_1[#ALL],3,0)</f>
        <v>cosmetico</v>
      </c>
      <c r="I599" s="2" t="s">
        <v>43</v>
      </c>
      <c r="J599" s="2">
        <v>3.0</v>
      </c>
      <c r="K599" s="14">
        <v>18487.0</v>
      </c>
      <c r="L599" s="14">
        <v>15130.5</v>
      </c>
      <c r="M599" s="14">
        <v>3356.5</v>
      </c>
      <c r="N599" s="14">
        <v>880.0</v>
      </c>
      <c r="O599" s="14">
        <f t="shared" si="2"/>
        <v>2476.5</v>
      </c>
      <c r="P599" s="2" t="s">
        <v>2599</v>
      </c>
    </row>
    <row r="600" ht="22.5" customHeight="1">
      <c r="A600" s="2" t="s">
        <v>2245</v>
      </c>
      <c r="B600" s="12">
        <v>46191.0</v>
      </c>
      <c r="C600" s="13" t="str">
        <f t="shared" si="1"/>
        <v>2026-06</v>
      </c>
      <c r="D600" s="12">
        <v>46224.0</v>
      </c>
      <c r="E600" s="12">
        <v>46224.0</v>
      </c>
      <c r="F600" s="2" t="s">
        <v>209</v>
      </c>
      <c r="G600" s="2" t="str">
        <f>VLOOKUP(F600,Tabela_1[#ALL],2,0)</f>
        <v>Ciência da Vida Farma ME</v>
      </c>
      <c r="H600" s="2" t="str">
        <f>VLOOKUP(F600,Tabela_1[#ALL],3,0)</f>
        <v>farmaceutico</v>
      </c>
      <c r="I600" s="2" t="s">
        <v>49</v>
      </c>
      <c r="J600" s="2">
        <v>2.0</v>
      </c>
      <c r="K600" s="14">
        <v>67321.8</v>
      </c>
      <c r="L600" s="14">
        <v>51453.0</v>
      </c>
      <c r="M600" s="14">
        <v>15868.8</v>
      </c>
      <c r="N600" s="14">
        <v>3963.0</v>
      </c>
      <c r="O600" s="14">
        <f t="shared" si="2"/>
        <v>11905.8</v>
      </c>
      <c r="P600" s="2" t="s">
        <v>2597</v>
      </c>
    </row>
    <row r="601" ht="22.5" customHeight="1">
      <c r="A601" s="2" t="s">
        <v>2249</v>
      </c>
      <c r="B601" s="12">
        <v>46191.0</v>
      </c>
      <c r="C601" s="13" t="str">
        <f t="shared" si="1"/>
        <v>2026-06</v>
      </c>
      <c r="D601" s="12">
        <v>46214.0</v>
      </c>
      <c r="F601" s="2" t="s">
        <v>241</v>
      </c>
      <c r="G601" s="2" t="str">
        <f>VLOOKUP(F601,Tabela_1[#ALL],2,0)</f>
        <v>EssenciaPura EPP (Cascavel)</v>
      </c>
      <c r="H601" s="2" t="str">
        <f>VLOOKUP(F601,Tabela_1[#ALL],3,0)</f>
        <v>cosmetico</v>
      </c>
      <c r="I601" s="2" t="s">
        <v>39</v>
      </c>
      <c r="J601" s="2">
        <v>1.0</v>
      </c>
      <c r="K601" s="14">
        <v>7270.2</v>
      </c>
      <c r="L601" s="14">
        <v>5885.4</v>
      </c>
      <c r="M601" s="14">
        <v>1384.8</v>
      </c>
      <c r="N601" s="14">
        <v>463.0</v>
      </c>
      <c r="O601" s="14">
        <f t="shared" si="2"/>
        <v>921.8</v>
      </c>
      <c r="P601" s="2" t="s">
        <v>2600</v>
      </c>
    </row>
    <row r="602" ht="22.5" customHeight="1">
      <c r="A602" s="2" t="s">
        <v>2251</v>
      </c>
      <c r="B602" s="12">
        <v>46192.0</v>
      </c>
      <c r="C602" s="13" t="str">
        <f t="shared" si="1"/>
        <v>2026-06</v>
      </c>
      <c r="D602" s="12">
        <v>46213.0</v>
      </c>
      <c r="E602" s="12">
        <v>46212.0</v>
      </c>
      <c r="F602" s="2" t="s">
        <v>35</v>
      </c>
      <c r="G602" s="2" t="str">
        <f>VLOOKUP(F602,Tabela_1[#ALL],2,0)</f>
        <v>CoopVale</v>
      </c>
      <c r="H602" s="2" t="str">
        <f>VLOOKUP(F602,Tabela_1[#ALL],3,0)</f>
        <v>alimenticio</v>
      </c>
      <c r="I602" s="2" t="s">
        <v>39</v>
      </c>
      <c r="J602" s="2">
        <v>2.0</v>
      </c>
      <c r="K602" s="14">
        <v>66484.6</v>
      </c>
      <c r="L602" s="14">
        <v>56591.0</v>
      </c>
      <c r="M602" s="14">
        <v>9893.6</v>
      </c>
      <c r="N602" s="14">
        <v>535.0</v>
      </c>
      <c r="O602" s="14">
        <f t="shared" si="2"/>
        <v>9358.6</v>
      </c>
      <c r="P602" s="2" t="s">
        <v>2597</v>
      </c>
    </row>
    <row r="603" ht="22.5" customHeight="1">
      <c r="A603" s="2" t="s">
        <v>2253</v>
      </c>
      <c r="B603" s="12">
        <v>46192.0</v>
      </c>
      <c r="C603" s="13" t="str">
        <f t="shared" si="1"/>
        <v>2026-06</v>
      </c>
      <c r="D603" s="12">
        <v>46224.0</v>
      </c>
      <c r="E603" s="12">
        <v>46226.0</v>
      </c>
      <c r="F603" s="2" t="s">
        <v>95</v>
      </c>
      <c r="G603" s="2" t="str">
        <f>VLOOKUP(F603,Tabela_1[#ALL],2,0)</f>
        <v>Mercado Vale</v>
      </c>
      <c r="H603" s="2" t="str">
        <f>VLOOKUP(F603,Tabela_1[#ALL],3,0)</f>
        <v>varejo</v>
      </c>
      <c r="I603" s="2" t="s">
        <v>56</v>
      </c>
      <c r="J603" s="2">
        <v>2.0</v>
      </c>
      <c r="K603" s="14">
        <v>25690.4</v>
      </c>
      <c r="L603" s="14">
        <v>21547.6</v>
      </c>
      <c r="M603" s="14">
        <v>4142.8</v>
      </c>
      <c r="N603" s="14">
        <v>6087.0</v>
      </c>
      <c r="O603" s="14">
        <f t="shared" si="2"/>
        <v>-1944.2</v>
      </c>
      <c r="P603" s="2" t="s">
        <v>2597</v>
      </c>
    </row>
    <row r="604" ht="22.5" customHeight="1">
      <c r="A604" s="2" t="s">
        <v>2257</v>
      </c>
      <c r="B604" s="12">
        <v>46192.0</v>
      </c>
      <c r="C604" s="13" t="str">
        <f t="shared" si="1"/>
        <v>2026-06</v>
      </c>
      <c r="D604" s="12">
        <v>46224.0</v>
      </c>
      <c r="E604" s="12">
        <v>46222.0</v>
      </c>
      <c r="F604" s="2" t="s">
        <v>126</v>
      </c>
      <c r="G604" s="2" t="str">
        <f>VLOOKUP(F604,Tabela_1[#ALL],2,0)</f>
        <v>Biolatina Indústria Cooperativa</v>
      </c>
      <c r="H604" s="2" t="str">
        <f>VLOOKUP(F604,Tabela_1[#ALL],3,0)</f>
        <v>farmaceutico</v>
      </c>
      <c r="I604" s="2" t="s">
        <v>43</v>
      </c>
      <c r="J604" s="2">
        <v>1.0</v>
      </c>
      <c r="K604" s="14">
        <v>25279.8</v>
      </c>
      <c r="L604" s="14">
        <v>19862.7</v>
      </c>
      <c r="M604" s="14">
        <v>5417.1</v>
      </c>
      <c r="N604" s="14">
        <v>5946.0</v>
      </c>
      <c r="O604" s="14">
        <f t="shared" si="2"/>
        <v>-528.9</v>
      </c>
      <c r="P604" s="2" t="s">
        <v>2597</v>
      </c>
    </row>
    <row r="605" ht="22.5" customHeight="1">
      <c r="A605" s="2" t="s">
        <v>2260</v>
      </c>
      <c r="B605" s="12">
        <v>46192.0</v>
      </c>
      <c r="C605" s="13" t="str">
        <f t="shared" si="1"/>
        <v>2026-06</v>
      </c>
      <c r="D605" s="12">
        <v>46210.0</v>
      </c>
      <c r="E605" s="12">
        <v>46209.0</v>
      </c>
      <c r="F605" s="2" t="s">
        <v>171</v>
      </c>
      <c r="G605" s="2" t="str">
        <f>VLOOKUP(F605,Tabela_1[#ALL],2,0)</f>
        <v>Solene Cosméticos Ltda</v>
      </c>
      <c r="H605" s="2" t="str">
        <f>VLOOKUP(F605,Tabela_1[#ALL],3,0)</f>
        <v>cosmetico</v>
      </c>
      <c r="I605" s="2" t="s">
        <v>56</v>
      </c>
      <c r="J605" s="2">
        <v>3.0</v>
      </c>
      <c r="K605" s="14">
        <v>4184.6</v>
      </c>
      <c r="L605" s="14">
        <v>3342.15</v>
      </c>
      <c r="M605" s="14">
        <v>842.45</v>
      </c>
      <c r="N605" s="14">
        <v>4904.0</v>
      </c>
      <c r="O605" s="14">
        <f t="shared" si="2"/>
        <v>-4061.55</v>
      </c>
      <c r="P605" s="2" t="s">
        <v>2597</v>
      </c>
    </row>
    <row r="606" ht="22.5" customHeight="1">
      <c r="A606" s="2" t="s">
        <v>2267</v>
      </c>
      <c r="B606" s="12">
        <v>46193.0</v>
      </c>
      <c r="C606" s="13" t="str">
        <f t="shared" si="1"/>
        <v>2026-06</v>
      </c>
      <c r="D606" s="12">
        <v>46226.0</v>
      </c>
      <c r="E606" s="12">
        <v>46227.0</v>
      </c>
      <c r="F606" s="2" t="s">
        <v>51</v>
      </c>
      <c r="G606" s="2" t="str">
        <f>VLOOKUP(F606,Tabela_1[#ALL],2,0)</f>
        <v>LogiPack</v>
      </c>
      <c r="H606" s="2" t="str">
        <f>VLOOKUP(F606,Tabela_1[#ALL],3,0)</f>
        <v>logistica</v>
      </c>
      <c r="I606" s="2" t="s">
        <v>56</v>
      </c>
      <c r="J606" s="2">
        <v>3.0</v>
      </c>
      <c r="K606" s="14">
        <v>23395.4</v>
      </c>
      <c r="L606" s="14">
        <v>20238.8</v>
      </c>
      <c r="M606" s="14">
        <v>3156.6</v>
      </c>
      <c r="N606" s="14">
        <v>1728.0</v>
      </c>
      <c r="O606" s="14">
        <f t="shared" si="2"/>
        <v>1428.6</v>
      </c>
      <c r="P606" s="2" t="s">
        <v>2597</v>
      </c>
    </row>
    <row r="607" ht="22.5" customHeight="1">
      <c r="A607" s="2" t="s">
        <v>2270</v>
      </c>
      <c r="B607" s="12">
        <v>46193.0</v>
      </c>
      <c r="C607" s="13" t="str">
        <f t="shared" si="1"/>
        <v>2026-06</v>
      </c>
      <c r="D607" s="12">
        <v>46220.0</v>
      </c>
      <c r="F607" s="2" t="s">
        <v>86</v>
      </c>
      <c r="G607" s="2" t="str">
        <f>VLOOKUP(F607,Tabela_1[#ALL],2,0)</f>
        <v>Padaria do Seu Joaquim</v>
      </c>
      <c r="H607" s="2" t="str">
        <f>VLOOKUP(F607,Tabela_1[#ALL],3,0)</f>
        <v>outros</v>
      </c>
      <c r="I607" s="2" t="s">
        <v>39</v>
      </c>
      <c r="J607" s="2">
        <v>2.0</v>
      </c>
      <c r="K607" s="14">
        <v>6826.4</v>
      </c>
      <c r="L607" s="14">
        <v>6095.0</v>
      </c>
      <c r="M607" s="14">
        <v>731.4</v>
      </c>
      <c r="N607" s="14">
        <v>550.0</v>
      </c>
      <c r="O607" s="14">
        <f t="shared" si="2"/>
        <v>181.4</v>
      </c>
      <c r="P607" s="2" t="s">
        <v>2601</v>
      </c>
    </row>
    <row r="608" ht="22.5" customHeight="1">
      <c r="A608" s="2" t="s">
        <v>2272</v>
      </c>
      <c r="B608" s="12">
        <v>46193.0</v>
      </c>
      <c r="C608" s="13" t="str">
        <f t="shared" si="1"/>
        <v>2026-06</v>
      </c>
      <c r="D608" s="12">
        <v>46210.0</v>
      </c>
      <c r="F608" s="2" t="s">
        <v>111</v>
      </c>
      <c r="G608" s="2" t="str">
        <f>VLOOKUP(F608,Tabela_1[#ALL],2,0)</f>
        <v>Salutar Farma Comércio</v>
      </c>
      <c r="H608" s="2" t="str">
        <f>VLOOKUP(F608,Tabela_1[#ALL],3,0)</f>
        <v>farmaceutico</v>
      </c>
      <c r="I608" s="2" t="s">
        <v>43</v>
      </c>
      <c r="J608" s="2">
        <v>1.0</v>
      </c>
      <c r="K608" s="14">
        <v>4953.8</v>
      </c>
      <c r="L608" s="14">
        <v>4152.45</v>
      </c>
      <c r="M608" s="14">
        <v>801.35</v>
      </c>
      <c r="N608" s="14">
        <v>3142.0</v>
      </c>
      <c r="O608" s="14">
        <f t="shared" si="2"/>
        <v>-2340.65</v>
      </c>
      <c r="P608" s="2" t="s">
        <v>2598</v>
      </c>
    </row>
    <row r="609" ht="22.5" customHeight="1">
      <c r="A609" s="2" t="s">
        <v>2275</v>
      </c>
      <c r="B609" s="12">
        <v>46193.0</v>
      </c>
      <c r="C609" s="13" t="str">
        <f t="shared" si="1"/>
        <v>2026-06</v>
      </c>
      <c r="D609" s="12">
        <v>46208.0</v>
      </c>
      <c r="E609" s="12">
        <v>46209.0</v>
      </c>
      <c r="F609" s="2" t="s">
        <v>132</v>
      </c>
      <c r="G609" s="2" t="str">
        <f>VLOOKUP(F609,Tabela_1[#ALL],2,0)</f>
        <v>Doce Vale</v>
      </c>
      <c r="H609" s="2" t="str">
        <f>VLOOKUP(F609,Tabela_1[#ALL],3,0)</f>
        <v>alimenticio</v>
      </c>
      <c r="I609" s="2" t="s">
        <v>39</v>
      </c>
      <c r="J609" s="2">
        <v>1.0</v>
      </c>
      <c r="K609" s="14">
        <v>3637.2</v>
      </c>
      <c r="L609" s="14">
        <v>2944.4</v>
      </c>
      <c r="M609" s="14">
        <v>692.8</v>
      </c>
      <c r="N609" s="14">
        <v>2061.0</v>
      </c>
      <c r="O609" s="14">
        <f t="shared" si="2"/>
        <v>-1368.2</v>
      </c>
      <c r="P609" s="2" t="s">
        <v>2597</v>
      </c>
    </row>
    <row r="610" ht="22.5" customHeight="1">
      <c r="A610" s="2" t="s">
        <v>2277</v>
      </c>
      <c r="B610" s="12">
        <v>46193.0</v>
      </c>
      <c r="C610" s="13" t="str">
        <f t="shared" si="1"/>
        <v>2026-06</v>
      </c>
      <c r="D610" s="12">
        <v>46227.0</v>
      </c>
      <c r="F610" s="2" t="s">
        <v>134</v>
      </c>
      <c r="G610" s="2" t="str">
        <f>VLOOKUP(F610,Tabela_1[#ALL],2,0)</f>
        <v>Nutrigrão Cooperativa</v>
      </c>
      <c r="H610" s="2" t="str">
        <f>VLOOKUP(F610,Tabela_1[#ALL],3,0)</f>
        <v>alimenticio</v>
      </c>
      <c r="I610" s="2" t="s">
        <v>91</v>
      </c>
      <c r="J610" s="2">
        <v>2.0</v>
      </c>
      <c r="K610" s="14">
        <v>18067.8</v>
      </c>
      <c r="L610" s="14">
        <v>15154.0</v>
      </c>
      <c r="M610" s="14">
        <v>2913.8</v>
      </c>
      <c r="N610" s="14">
        <v>5158.0</v>
      </c>
      <c r="O610" s="14">
        <f t="shared" si="2"/>
        <v>-2244.2</v>
      </c>
      <c r="P610" s="2" t="s">
        <v>2598</v>
      </c>
    </row>
    <row r="611" ht="22.5" customHeight="1">
      <c r="A611" s="2" t="s">
        <v>2279</v>
      </c>
      <c r="B611" s="12">
        <v>46193.0</v>
      </c>
      <c r="C611" s="13" t="str">
        <f t="shared" si="1"/>
        <v>2026-06</v>
      </c>
      <c r="D611" s="12">
        <v>46211.0</v>
      </c>
      <c r="E611" s="12">
        <v>46208.0</v>
      </c>
      <c r="F611" s="2" t="s">
        <v>231</v>
      </c>
      <c r="G611" s="2" t="str">
        <f>VLOOKUP(F611,Tabela_1[#ALL],2,0)</f>
        <v>Indústria Caraíbas ME</v>
      </c>
      <c r="H611" s="2" t="str">
        <f>VLOOKUP(F611,Tabela_1[#ALL],3,0)</f>
        <v>alimenticio</v>
      </c>
      <c r="I611" s="2" t="s">
        <v>39</v>
      </c>
      <c r="J611" s="2">
        <v>2.0</v>
      </c>
      <c r="K611" s="14">
        <v>24901.6</v>
      </c>
      <c r="L611" s="14">
        <v>20873.4</v>
      </c>
      <c r="M611" s="14">
        <v>4028.2</v>
      </c>
      <c r="N611" s="14">
        <v>374.0</v>
      </c>
      <c r="O611" s="14">
        <f t="shared" si="2"/>
        <v>3654.2</v>
      </c>
      <c r="P611" s="2" t="s">
        <v>2597</v>
      </c>
    </row>
    <row r="612" ht="22.5" customHeight="1">
      <c r="A612" s="2" t="s">
        <v>2282</v>
      </c>
      <c r="B612" s="12">
        <v>46193.0</v>
      </c>
      <c r="C612" s="13" t="str">
        <f t="shared" si="1"/>
        <v>2026-06</v>
      </c>
      <c r="D612" s="12">
        <v>46213.0</v>
      </c>
      <c r="E612" s="12">
        <v>46210.0</v>
      </c>
      <c r="F612" s="2" t="s">
        <v>239</v>
      </c>
      <c r="G612" s="2" t="str">
        <f>VLOOKUP(F612,Tabela_1[#ALL],2,0)</f>
        <v>FreteFix Comércio</v>
      </c>
      <c r="H612" s="2" t="str">
        <f>VLOOKUP(F612,Tabela_1[#ALL],3,0)</f>
        <v>logistica</v>
      </c>
      <c r="I612" s="2" t="s">
        <v>56</v>
      </c>
      <c r="J612" s="2">
        <v>1.0</v>
      </c>
      <c r="K612" s="14">
        <v>14690.0</v>
      </c>
      <c r="L612" s="14">
        <v>11526.0</v>
      </c>
      <c r="M612" s="14">
        <v>3164.0</v>
      </c>
      <c r="N612" s="14">
        <v>2636.0</v>
      </c>
      <c r="O612" s="14">
        <f t="shared" si="2"/>
        <v>528</v>
      </c>
      <c r="P612" s="2" t="s">
        <v>2597</v>
      </c>
    </row>
    <row r="613" ht="22.5" customHeight="1">
      <c r="A613" s="2" t="s">
        <v>2283</v>
      </c>
      <c r="B613" s="12">
        <v>46194.0</v>
      </c>
      <c r="C613" s="13" t="str">
        <f t="shared" si="1"/>
        <v>2026-06</v>
      </c>
      <c r="D613" s="12">
        <v>46224.0</v>
      </c>
      <c r="E613" s="12">
        <v>46223.0</v>
      </c>
      <c r="F613" s="2" t="s">
        <v>98</v>
      </c>
      <c r="G613" s="2" t="str">
        <f>VLOOKUP(F613,Tabela_1[#ALL],2,0)</f>
        <v>Atacarejo Maringá</v>
      </c>
      <c r="H613" s="2" t="str">
        <f>VLOOKUP(F613,Tabela_1[#ALL],3,0)</f>
        <v>distribuidor</v>
      </c>
      <c r="I613" s="2" t="s">
        <v>43</v>
      </c>
      <c r="J613" s="2">
        <v>1.0</v>
      </c>
      <c r="K613" s="14">
        <v>11723.2</v>
      </c>
      <c r="L613" s="14">
        <v>9826.8</v>
      </c>
      <c r="M613" s="14">
        <v>1896.4</v>
      </c>
      <c r="N613" s="14">
        <v>3102.0</v>
      </c>
      <c r="O613" s="14">
        <f t="shared" si="2"/>
        <v>-1205.6</v>
      </c>
      <c r="P613" s="2" t="s">
        <v>2597</v>
      </c>
    </row>
    <row r="614" ht="22.5" customHeight="1">
      <c r="A614" s="2" t="s">
        <v>2286</v>
      </c>
      <c r="B614" s="12">
        <v>46194.0</v>
      </c>
      <c r="C614" s="13" t="str">
        <f t="shared" si="1"/>
        <v>2026-06</v>
      </c>
      <c r="D614" s="12">
        <v>46223.0</v>
      </c>
      <c r="E614" s="12">
        <v>46224.0</v>
      </c>
      <c r="F614" s="2" t="s">
        <v>213</v>
      </c>
      <c r="G614" s="2" t="str">
        <f>VLOOKUP(F614,Tabela_1[#ALL],2,0)</f>
        <v>Doce Vale ME</v>
      </c>
      <c r="H614" s="2" t="str">
        <f>VLOOKUP(F614,Tabela_1[#ALL],3,0)</f>
        <v>alimenticio</v>
      </c>
      <c r="I614" s="2" t="s">
        <v>39</v>
      </c>
      <c r="J614" s="2">
        <v>1.0</v>
      </c>
      <c r="K614" s="14">
        <v>12600.0</v>
      </c>
      <c r="L614" s="14">
        <v>10200.0</v>
      </c>
      <c r="M614" s="14">
        <v>2400.0</v>
      </c>
      <c r="N614" s="14">
        <v>1793.0</v>
      </c>
      <c r="O614" s="14">
        <f t="shared" si="2"/>
        <v>607</v>
      </c>
      <c r="P614" s="2" t="s">
        <v>2597</v>
      </c>
    </row>
    <row r="615" ht="22.5" customHeight="1">
      <c r="A615" s="2" t="s">
        <v>2287</v>
      </c>
      <c r="B615" s="12">
        <v>46194.0</v>
      </c>
      <c r="C615" s="13" t="str">
        <f t="shared" si="1"/>
        <v>2026-06</v>
      </c>
      <c r="D615" s="12">
        <v>46209.0</v>
      </c>
      <c r="E615" s="12">
        <v>46210.0</v>
      </c>
      <c r="F615" s="2" t="s">
        <v>221</v>
      </c>
      <c r="G615" s="2" t="str">
        <f>VLOOKUP(F615,Tabela_1[#ALL],2,0)</f>
        <v>EssenciaPura EPP</v>
      </c>
      <c r="H615" s="2" t="str">
        <f>VLOOKUP(F615,Tabela_1[#ALL],3,0)</f>
        <v>cosmetico</v>
      </c>
      <c r="I615" s="2" t="s">
        <v>49</v>
      </c>
      <c r="J615" s="2">
        <v>3.0</v>
      </c>
      <c r="K615" s="14">
        <v>20636.6</v>
      </c>
      <c r="L615" s="14">
        <v>15968.7</v>
      </c>
      <c r="M615" s="14">
        <v>4667.9</v>
      </c>
      <c r="N615" s="14">
        <v>2563.0</v>
      </c>
      <c r="O615" s="14">
        <f t="shared" si="2"/>
        <v>2104.9</v>
      </c>
      <c r="P615" s="2" t="s">
        <v>2597</v>
      </c>
    </row>
    <row r="616" ht="22.5" customHeight="1">
      <c r="A616" s="2" t="s">
        <v>2289</v>
      </c>
      <c r="B616" s="12">
        <v>46194.0</v>
      </c>
      <c r="C616" s="13" t="str">
        <f t="shared" si="1"/>
        <v>2026-06</v>
      </c>
      <c r="D616" s="12">
        <v>46209.0</v>
      </c>
      <c r="F616" s="2" t="s">
        <v>229</v>
      </c>
      <c r="G616" s="2" t="str">
        <f>VLOOKUP(F616,Tabela_1[#ALL],2,0)</f>
        <v>Sirena Perfumaria S.A.</v>
      </c>
      <c r="H616" s="2" t="str">
        <f>VLOOKUP(F616,Tabela_1[#ALL],3,0)</f>
        <v>cosmetico</v>
      </c>
      <c r="I616" s="2" t="s">
        <v>91</v>
      </c>
      <c r="J616" s="2">
        <v>3.0</v>
      </c>
      <c r="K616" s="14">
        <v>15369.2</v>
      </c>
      <c r="L616" s="14">
        <v>13295.5</v>
      </c>
      <c r="M616" s="14">
        <v>2073.7</v>
      </c>
      <c r="N616" s="14">
        <v>2866.0</v>
      </c>
      <c r="O616" s="14">
        <f t="shared" si="2"/>
        <v>-792.3</v>
      </c>
      <c r="P616" s="2" t="s">
        <v>2598</v>
      </c>
    </row>
    <row r="617" ht="22.5" customHeight="1">
      <c r="A617" s="2" t="s">
        <v>2291</v>
      </c>
      <c r="B617" s="12">
        <v>46195.0</v>
      </c>
      <c r="C617" s="13" t="str">
        <f t="shared" si="1"/>
        <v>2026-06</v>
      </c>
      <c r="D617" s="12">
        <v>46220.0</v>
      </c>
      <c r="E617" s="12">
        <v>46222.0</v>
      </c>
      <c r="F617" s="2" t="s">
        <v>28</v>
      </c>
      <c r="G617" s="2" t="str">
        <f>VLOOKUP(F617,Tabela_1[#ALL],2,0)</f>
        <v>CoopFrigo</v>
      </c>
      <c r="H617" s="2" t="str">
        <f>VLOOKUP(F617,Tabela_1[#ALL],3,0)</f>
        <v>alimenticio</v>
      </c>
      <c r="I617" s="2" t="s">
        <v>16</v>
      </c>
      <c r="J617" s="2">
        <v>3.0</v>
      </c>
      <c r="K617" s="14">
        <v>173111.3</v>
      </c>
      <c r="L617" s="14">
        <v>137263.1</v>
      </c>
      <c r="M617" s="14">
        <v>35848.2</v>
      </c>
      <c r="N617" s="14">
        <v>1708.0</v>
      </c>
      <c r="O617" s="14">
        <f t="shared" si="2"/>
        <v>34140.2</v>
      </c>
      <c r="P617" s="2" t="s">
        <v>2597</v>
      </c>
    </row>
    <row r="618" ht="22.5" customHeight="1">
      <c r="A618" s="2" t="s">
        <v>2298</v>
      </c>
      <c r="B618" s="12">
        <v>46195.0</v>
      </c>
      <c r="C618" s="13" t="str">
        <f t="shared" si="1"/>
        <v>2026-06</v>
      </c>
      <c r="D618" s="12">
        <v>46228.0</v>
      </c>
      <c r="E618" s="12">
        <v>46228.0</v>
      </c>
      <c r="F618" s="2" t="s">
        <v>59</v>
      </c>
      <c r="G618" s="2" t="str">
        <f>VLOOKUP(F618,Tabela_1[#ALL],2,0)</f>
        <v>BioGenova</v>
      </c>
      <c r="H618" s="2" t="str">
        <f>VLOOKUP(F618,Tabela_1[#ALL],3,0)</f>
        <v>farmaceutico</v>
      </c>
      <c r="I618" s="2" t="s">
        <v>49</v>
      </c>
      <c r="J618" s="2">
        <v>2.0</v>
      </c>
      <c r="K618" s="14">
        <v>71616.0</v>
      </c>
      <c r="L618" s="14">
        <v>57904.5</v>
      </c>
      <c r="M618" s="14">
        <v>13711.5</v>
      </c>
      <c r="N618" s="14">
        <v>14425.0</v>
      </c>
      <c r="O618" s="14">
        <f t="shared" si="2"/>
        <v>-713.5</v>
      </c>
      <c r="P618" s="2" t="s">
        <v>2597</v>
      </c>
    </row>
    <row r="619" ht="22.5" customHeight="1">
      <c r="A619" s="2" t="s">
        <v>2303</v>
      </c>
      <c r="B619" s="12">
        <v>46195.0</v>
      </c>
      <c r="C619" s="13" t="str">
        <f t="shared" si="1"/>
        <v>2026-06</v>
      </c>
      <c r="D619" s="12">
        <v>46211.0</v>
      </c>
      <c r="E619" s="12">
        <v>46209.0</v>
      </c>
      <c r="F619" s="2" t="s">
        <v>88</v>
      </c>
      <c r="G619" s="2" t="str">
        <f>VLOOKUP(F619,Tabela_1[#ALL],2,0)</f>
        <v>Atacadão Centro Oeste</v>
      </c>
      <c r="H619" s="2" t="str">
        <f>VLOOKUP(F619,Tabela_1[#ALL],3,0)</f>
        <v>distribuidor</v>
      </c>
      <c r="I619" s="2" t="s">
        <v>91</v>
      </c>
      <c r="J619" s="2">
        <v>1.0</v>
      </c>
      <c r="K619" s="14">
        <v>6519.5</v>
      </c>
      <c r="L619" s="14">
        <v>5115.3</v>
      </c>
      <c r="M619" s="14">
        <v>1404.2</v>
      </c>
      <c r="N619" s="14">
        <v>429.0</v>
      </c>
      <c r="O619" s="14">
        <f t="shared" si="2"/>
        <v>975.2</v>
      </c>
      <c r="P619" s="2" t="s">
        <v>2597</v>
      </c>
    </row>
    <row r="620" ht="22.5" customHeight="1">
      <c r="A620" s="2" t="s">
        <v>2305</v>
      </c>
      <c r="B620" s="12">
        <v>46195.0</v>
      </c>
      <c r="C620" s="13" t="str">
        <f t="shared" si="1"/>
        <v>2026-06</v>
      </c>
      <c r="D620" s="12">
        <v>46224.0</v>
      </c>
      <c r="E620" s="12">
        <v>46226.0</v>
      </c>
      <c r="F620" s="2" t="s">
        <v>121</v>
      </c>
      <c r="G620" s="2" t="str">
        <f>VLOOKUP(F620,Tabela_1[#ALL],2,0)</f>
        <v>Distrib. Tropical Ltda</v>
      </c>
      <c r="H620" s="2" t="str">
        <f>VLOOKUP(F620,Tabela_1[#ALL],3,0)</f>
        <v>distribuidor</v>
      </c>
      <c r="I620" s="2" t="s">
        <v>91</v>
      </c>
      <c r="J620" s="2">
        <v>2.0</v>
      </c>
      <c r="K620" s="14">
        <v>10579.8</v>
      </c>
      <c r="L620" s="14">
        <v>9005.6</v>
      </c>
      <c r="M620" s="14">
        <v>1574.2</v>
      </c>
      <c r="N620" s="14">
        <v>6162.0</v>
      </c>
      <c r="O620" s="14">
        <f t="shared" si="2"/>
        <v>-4587.8</v>
      </c>
      <c r="P620" s="2" t="s">
        <v>2597</v>
      </c>
    </row>
    <row r="621" ht="22.5" customHeight="1">
      <c r="A621" s="2" t="s">
        <v>2307</v>
      </c>
      <c r="B621" s="12">
        <v>46195.0</v>
      </c>
      <c r="C621" s="13" t="str">
        <f t="shared" si="1"/>
        <v>2026-06</v>
      </c>
      <c r="D621" s="12">
        <v>46213.0</v>
      </c>
      <c r="F621" s="2" t="s">
        <v>126</v>
      </c>
      <c r="G621" s="2" t="str">
        <f>VLOOKUP(F621,Tabela_1[#ALL],2,0)</f>
        <v>Biolatina Indústria Cooperativa</v>
      </c>
      <c r="H621" s="2" t="str">
        <f>VLOOKUP(F621,Tabela_1[#ALL],3,0)</f>
        <v>farmaceutico</v>
      </c>
      <c r="I621" s="2" t="s">
        <v>43</v>
      </c>
      <c r="J621" s="2">
        <v>3.0</v>
      </c>
      <c r="K621" s="14">
        <v>13383.2</v>
      </c>
      <c r="L621" s="14">
        <v>10953.3</v>
      </c>
      <c r="M621" s="14">
        <v>2429.9</v>
      </c>
      <c r="N621" s="14">
        <v>7192.0</v>
      </c>
      <c r="O621" s="14">
        <f t="shared" si="2"/>
        <v>-4762.1</v>
      </c>
      <c r="P621" s="2" t="s">
        <v>2601</v>
      </c>
    </row>
    <row r="622" ht="22.5" customHeight="1">
      <c r="A622" s="2" t="s">
        <v>2310</v>
      </c>
      <c r="B622" s="12">
        <v>46195.0</v>
      </c>
      <c r="C622" s="13" t="str">
        <f t="shared" si="1"/>
        <v>2026-06</v>
      </c>
      <c r="D622" s="12">
        <v>46219.0</v>
      </c>
      <c r="E622" s="12">
        <v>46220.0</v>
      </c>
      <c r="F622" s="2" t="s">
        <v>157</v>
      </c>
      <c r="G622" s="2" t="str">
        <f>VLOOKUP(F622,Tabela_1[#ALL],2,0)</f>
        <v>Mercosul Comércio EPP</v>
      </c>
      <c r="H622" s="2" t="str">
        <f>VLOOKUP(F622,Tabela_1[#ALL],3,0)</f>
        <v>distribuidor</v>
      </c>
      <c r="I622" s="2" t="s">
        <v>49</v>
      </c>
      <c r="J622" s="2">
        <v>1.0</v>
      </c>
      <c r="K622" s="14">
        <v>12658.8</v>
      </c>
      <c r="L622" s="14">
        <v>10247.6</v>
      </c>
      <c r="M622" s="14">
        <v>2411.2</v>
      </c>
      <c r="N622" s="14">
        <v>1823.0</v>
      </c>
      <c r="O622" s="14">
        <f t="shared" si="2"/>
        <v>588.2</v>
      </c>
      <c r="P622" s="2" t="s">
        <v>2597</v>
      </c>
    </row>
    <row r="623" ht="22.5" customHeight="1">
      <c r="A623" s="2" t="s">
        <v>2313</v>
      </c>
      <c r="B623" s="12">
        <v>46195.0</v>
      </c>
      <c r="C623" s="13" t="str">
        <f t="shared" si="1"/>
        <v>2026-06</v>
      </c>
      <c r="D623" s="12">
        <v>46222.0</v>
      </c>
      <c r="F623" s="2" t="s">
        <v>165</v>
      </c>
      <c r="G623" s="2" t="str">
        <f>VLOOKUP(F623,Tabela_1[#ALL],2,0)</f>
        <v>Laticínios Boa Vista Comércio</v>
      </c>
      <c r="H623" s="2" t="str">
        <f>VLOOKUP(F623,Tabela_1[#ALL],3,0)</f>
        <v>alimenticio</v>
      </c>
      <c r="I623" s="2" t="s">
        <v>39</v>
      </c>
      <c r="J623" s="2">
        <v>3.0</v>
      </c>
      <c r="K623" s="14">
        <v>12416.6</v>
      </c>
      <c r="L623" s="14">
        <v>10396.4</v>
      </c>
      <c r="M623" s="14">
        <v>2020.2</v>
      </c>
      <c r="N623" s="14">
        <v>2008.0</v>
      </c>
      <c r="O623" s="14">
        <f t="shared" si="2"/>
        <v>12.2</v>
      </c>
      <c r="P623" s="2" t="s">
        <v>2598</v>
      </c>
    </row>
    <row r="624" ht="22.5" customHeight="1">
      <c r="A624" s="2" t="s">
        <v>2315</v>
      </c>
      <c r="B624" s="12">
        <v>46195.0</v>
      </c>
      <c r="C624" s="13" t="str">
        <f t="shared" si="1"/>
        <v>2026-06</v>
      </c>
      <c r="D624" s="12">
        <v>46226.0</v>
      </c>
      <c r="E624" s="12">
        <v>46227.0</v>
      </c>
      <c r="F624" s="2" t="s">
        <v>167</v>
      </c>
      <c r="G624" s="2" t="str">
        <f>VLOOKUP(F624,Tabela_1[#ALL],2,0)</f>
        <v>Granoma Alimentos S.A.</v>
      </c>
      <c r="H624" s="2" t="str">
        <f>VLOOKUP(F624,Tabela_1[#ALL],3,0)</f>
        <v>alimenticio</v>
      </c>
      <c r="I624" s="2" t="s">
        <v>56</v>
      </c>
      <c r="J624" s="2">
        <v>1.0</v>
      </c>
      <c r="K624" s="14">
        <v>19870.2</v>
      </c>
      <c r="L624" s="14">
        <v>16085.4</v>
      </c>
      <c r="M624" s="14">
        <v>3784.8</v>
      </c>
      <c r="N624" s="14">
        <v>5858.0</v>
      </c>
      <c r="O624" s="14">
        <f t="shared" si="2"/>
        <v>-2073.2</v>
      </c>
      <c r="P624" s="2" t="s">
        <v>2597</v>
      </c>
    </row>
    <row r="625" ht="22.5" customHeight="1">
      <c r="A625" s="2" t="s">
        <v>2318</v>
      </c>
      <c r="B625" s="12">
        <v>46195.0</v>
      </c>
      <c r="C625" s="13" t="str">
        <f t="shared" si="1"/>
        <v>2026-06</v>
      </c>
      <c r="D625" s="12">
        <v>46220.0</v>
      </c>
      <c r="E625" s="12">
        <v>46217.0</v>
      </c>
      <c r="F625" s="2" t="s">
        <v>189</v>
      </c>
      <c r="G625" s="2" t="str">
        <f>VLOOKUP(F625,Tabela_1[#ALL],2,0)</f>
        <v>EnviaTudo Cooperativa (Joinville)</v>
      </c>
      <c r="H625" s="2" t="str">
        <f>VLOOKUP(F625,Tabela_1[#ALL],3,0)</f>
        <v>ecommerce</v>
      </c>
      <c r="I625" s="2" t="s">
        <v>22</v>
      </c>
      <c r="J625" s="2">
        <v>3.0</v>
      </c>
      <c r="K625" s="14">
        <v>13739.6</v>
      </c>
      <c r="L625" s="14">
        <v>12267.5</v>
      </c>
      <c r="M625" s="14">
        <v>1472.1</v>
      </c>
      <c r="N625" s="14">
        <v>2993.0</v>
      </c>
      <c r="O625" s="14">
        <f t="shared" si="2"/>
        <v>-1520.9</v>
      </c>
      <c r="P625" s="2" t="s">
        <v>2597</v>
      </c>
    </row>
    <row r="626" ht="22.5" customHeight="1">
      <c r="A626" s="2" t="s">
        <v>2321</v>
      </c>
      <c r="B626" s="12">
        <v>46195.0</v>
      </c>
      <c r="C626" s="13" t="str">
        <f t="shared" si="1"/>
        <v>2026-06</v>
      </c>
      <c r="D626" s="12">
        <v>46214.0</v>
      </c>
      <c r="E626" s="12">
        <v>46219.0</v>
      </c>
      <c r="F626" s="2" t="s">
        <v>221</v>
      </c>
      <c r="G626" s="2" t="str">
        <f>VLOOKUP(F626,Tabela_1[#ALL],2,0)</f>
        <v>EssenciaPura EPP</v>
      </c>
      <c r="H626" s="2" t="str">
        <f>VLOOKUP(F626,Tabela_1[#ALL],3,0)</f>
        <v>cosmetico</v>
      </c>
      <c r="I626" s="2" t="s">
        <v>49</v>
      </c>
      <c r="J626" s="2">
        <v>1.0</v>
      </c>
      <c r="K626" s="14">
        <v>10153.5</v>
      </c>
      <c r="L626" s="14">
        <v>7542.6</v>
      </c>
      <c r="M626" s="14">
        <v>2610.9</v>
      </c>
      <c r="N626" s="14">
        <v>2367.0</v>
      </c>
      <c r="O626" s="14">
        <f t="shared" si="2"/>
        <v>243.9</v>
      </c>
      <c r="P626" s="2" t="s">
        <v>2599</v>
      </c>
    </row>
    <row r="627" ht="22.5" customHeight="1">
      <c r="A627" s="2" t="s">
        <v>2323</v>
      </c>
      <c r="B627" s="12">
        <v>46196.0</v>
      </c>
      <c r="C627" s="13" t="str">
        <f t="shared" si="1"/>
        <v>2026-06</v>
      </c>
      <c r="D627" s="12">
        <v>46220.0</v>
      </c>
      <c r="E627" s="12">
        <v>46219.0</v>
      </c>
      <c r="F627" s="2" t="s">
        <v>19</v>
      </c>
      <c r="G627" s="2" t="str">
        <f>VLOOKUP(F627,Tabela_1[#ALL],2,0)</f>
        <v>NorteAgro</v>
      </c>
      <c r="H627" s="2" t="str">
        <f>VLOOKUP(F627,Tabela_1[#ALL],3,0)</f>
        <v>alimenticio</v>
      </c>
      <c r="I627" s="2" t="s">
        <v>22</v>
      </c>
      <c r="J627" s="2">
        <v>1.0</v>
      </c>
      <c r="K627" s="14">
        <v>172827.2</v>
      </c>
      <c r="L627" s="14">
        <v>134605.8</v>
      </c>
      <c r="M627" s="14">
        <v>38221.4</v>
      </c>
      <c r="N627" s="14">
        <v>7378.0</v>
      </c>
      <c r="O627" s="14">
        <f t="shared" si="2"/>
        <v>30843.4</v>
      </c>
      <c r="P627" s="2" t="s">
        <v>2597</v>
      </c>
    </row>
    <row r="628" ht="22.5" customHeight="1">
      <c r="A628" s="2" t="s">
        <v>2327</v>
      </c>
      <c r="B628" s="12">
        <v>46196.0</v>
      </c>
      <c r="C628" s="13" t="str">
        <f t="shared" si="1"/>
        <v>2026-06</v>
      </c>
      <c r="D628" s="12">
        <v>46217.0</v>
      </c>
      <c r="E628" s="12">
        <v>46214.0</v>
      </c>
      <c r="F628" s="2" t="s">
        <v>187</v>
      </c>
      <c r="G628" s="2" t="str">
        <f>VLOOKUP(F628,Tabela_1[#ALL],2,0)</f>
        <v>Granoma Alimentos EPP</v>
      </c>
      <c r="H628" s="2" t="str">
        <f>VLOOKUP(F628,Tabela_1[#ALL],3,0)</f>
        <v>alimenticio</v>
      </c>
      <c r="I628" s="2" t="s">
        <v>22</v>
      </c>
      <c r="J628" s="2">
        <v>1.0</v>
      </c>
      <c r="K628" s="14">
        <v>15316.0</v>
      </c>
      <c r="L628" s="14">
        <v>13675.0</v>
      </c>
      <c r="M628" s="14">
        <v>1641.0</v>
      </c>
      <c r="N628" s="14">
        <v>1979.0</v>
      </c>
      <c r="O628" s="14">
        <f t="shared" si="2"/>
        <v>-338</v>
      </c>
      <c r="P628" s="2" t="s">
        <v>2597</v>
      </c>
    </row>
    <row r="629" ht="22.5" customHeight="1">
      <c r="A629" s="2" t="s">
        <v>2328</v>
      </c>
      <c r="B629" s="12">
        <v>46196.0</v>
      </c>
      <c r="C629" s="13" t="str">
        <f t="shared" si="1"/>
        <v>2026-06</v>
      </c>
      <c r="D629" s="12">
        <v>46214.0</v>
      </c>
      <c r="E629" s="12">
        <v>46213.0</v>
      </c>
      <c r="F629" s="2" t="s">
        <v>199</v>
      </c>
      <c r="G629" s="2" t="str">
        <f>VLOOKUP(F629,Tabela_1[#ALL],2,0)</f>
        <v>DistribuPlus Ltda</v>
      </c>
      <c r="H629" s="2" t="str">
        <f>VLOOKUP(F629,Tabela_1[#ALL],3,0)</f>
        <v>distribuidor</v>
      </c>
      <c r="I629" s="2" t="s">
        <v>22</v>
      </c>
      <c r="J629" s="2">
        <v>2.0</v>
      </c>
      <c r="K629" s="14">
        <v>50448.9</v>
      </c>
      <c r="L629" s="14">
        <v>42313.1</v>
      </c>
      <c r="M629" s="14">
        <v>8135.8</v>
      </c>
      <c r="N629" s="14">
        <v>1884.0</v>
      </c>
      <c r="O629" s="14">
        <f t="shared" si="2"/>
        <v>6251.8</v>
      </c>
      <c r="P629" s="2" t="s">
        <v>2597</v>
      </c>
    </row>
    <row r="630" ht="22.5" customHeight="1">
      <c r="A630" s="2" t="s">
        <v>2332</v>
      </c>
      <c r="B630" s="12">
        <v>46196.0</v>
      </c>
      <c r="C630" s="13" t="str">
        <f t="shared" si="1"/>
        <v>2026-06</v>
      </c>
      <c r="D630" s="12">
        <v>46229.0</v>
      </c>
      <c r="E630" s="12">
        <v>46228.0</v>
      </c>
      <c r="F630" s="2" t="s">
        <v>201</v>
      </c>
      <c r="G630" s="2" t="str">
        <f>VLOOKUP(F630,Tabela_1[#ALL],2,0)</f>
        <v>PackExpress Ltda</v>
      </c>
      <c r="H630" s="2" t="str">
        <f>VLOOKUP(F630,Tabela_1[#ALL],3,0)</f>
        <v>ecommerce</v>
      </c>
      <c r="I630" s="2" t="s">
        <v>56</v>
      </c>
      <c r="J630" s="2">
        <v>2.0</v>
      </c>
      <c r="K630" s="14">
        <v>23478.0</v>
      </c>
      <c r="L630" s="14">
        <v>18447.0</v>
      </c>
      <c r="M630" s="14">
        <v>5031.0</v>
      </c>
      <c r="N630" s="14">
        <v>886.0</v>
      </c>
      <c r="O630" s="14">
        <f t="shared" si="2"/>
        <v>4145</v>
      </c>
      <c r="P630" s="2" t="s">
        <v>2597</v>
      </c>
    </row>
    <row r="631" ht="22.5" customHeight="1">
      <c r="A631" s="2" t="s">
        <v>2333</v>
      </c>
      <c r="B631" s="12">
        <v>46196.0</v>
      </c>
      <c r="C631" s="13" t="str">
        <f t="shared" si="1"/>
        <v>2026-06</v>
      </c>
      <c r="D631" s="12">
        <v>46231.0</v>
      </c>
      <c r="E631" s="12">
        <v>46237.0</v>
      </c>
      <c r="F631" s="2" t="s">
        <v>251</v>
      </c>
      <c r="G631" s="2" t="str">
        <f>VLOOKUP(F631,Tabela_1[#ALL],2,0)</f>
        <v>Saúde Total Labs S.A.</v>
      </c>
      <c r="H631" s="2" t="str">
        <f>VLOOKUP(F631,Tabela_1[#ALL],3,0)</f>
        <v>farmaceutico</v>
      </c>
      <c r="I631" s="2" t="s">
        <v>49</v>
      </c>
      <c r="J631" s="2">
        <v>1.0</v>
      </c>
      <c r="K631" s="14">
        <v>28635.6</v>
      </c>
      <c r="L631" s="14">
        <v>25567.5</v>
      </c>
      <c r="M631" s="14">
        <v>3068.1</v>
      </c>
      <c r="N631" s="14">
        <v>875.0</v>
      </c>
      <c r="O631" s="14">
        <f t="shared" si="2"/>
        <v>2193.1</v>
      </c>
      <c r="P631" s="2" t="s">
        <v>2599</v>
      </c>
    </row>
    <row r="632" ht="22.5" customHeight="1">
      <c r="A632" s="2" t="s">
        <v>2336</v>
      </c>
      <c r="B632" s="12">
        <v>46196.0</v>
      </c>
      <c r="C632" s="13" t="str">
        <f t="shared" si="1"/>
        <v>2026-06</v>
      </c>
      <c r="D632" s="12">
        <v>46222.0</v>
      </c>
      <c r="E632" s="12">
        <v>46226.0</v>
      </c>
      <c r="F632" s="2" t="s">
        <v>257</v>
      </c>
      <c r="G632" s="2" t="str">
        <f>VLOOKUP(F632,Tabela_1[#ALL],2,0)</f>
        <v>Mercado Vale Ltda (Londrina)</v>
      </c>
      <c r="H632" s="2" t="str">
        <f>VLOOKUP(F632,Tabela_1[#ALL],3,0)</f>
        <v>varejo</v>
      </c>
      <c r="I632" s="2" t="s">
        <v>39</v>
      </c>
      <c r="J632" s="2">
        <v>2.0</v>
      </c>
      <c r="K632" s="14">
        <v>22246.0</v>
      </c>
      <c r="L632" s="14">
        <v>19862.5</v>
      </c>
      <c r="M632" s="14">
        <v>2383.5</v>
      </c>
      <c r="N632" s="14">
        <v>3022.0</v>
      </c>
      <c r="O632" s="14">
        <f t="shared" si="2"/>
        <v>-638.5</v>
      </c>
      <c r="P632" s="2" t="s">
        <v>2599</v>
      </c>
    </row>
    <row r="633" ht="22.5" customHeight="1">
      <c r="A633" s="2" t="s">
        <v>2341</v>
      </c>
      <c r="B633" s="12">
        <v>46197.0</v>
      </c>
      <c r="C633" s="13" t="str">
        <f t="shared" si="1"/>
        <v>2026-06</v>
      </c>
      <c r="D633" s="12">
        <v>46226.0</v>
      </c>
      <c r="E633" s="12">
        <v>46234.0</v>
      </c>
      <c r="F633" s="2" t="s">
        <v>31</v>
      </c>
      <c r="G633" s="2" t="str">
        <f>VLOOKUP(F633,Tabela_1[#ALL],2,0)</f>
        <v>Distribuidora Sul PR</v>
      </c>
      <c r="H633" s="2" t="str">
        <f>VLOOKUP(F633,Tabela_1[#ALL],3,0)</f>
        <v>distribuidor</v>
      </c>
      <c r="I633" s="2" t="s">
        <v>16</v>
      </c>
      <c r="J633" s="2">
        <v>1.0</v>
      </c>
      <c r="K633" s="14">
        <v>81445.0</v>
      </c>
      <c r="L633" s="14">
        <v>63903.0</v>
      </c>
      <c r="M633" s="14">
        <v>17542.0</v>
      </c>
      <c r="N633" s="14">
        <v>11844.0</v>
      </c>
      <c r="O633" s="14">
        <f t="shared" si="2"/>
        <v>5698</v>
      </c>
      <c r="P633" s="2" t="s">
        <v>2599</v>
      </c>
    </row>
    <row r="634" ht="22.5" customHeight="1">
      <c r="A634" s="2" t="s">
        <v>2342</v>
      </c>
      <c r="B634" s="12">
        <v>46197.0</v>
      </c>
      <c r="C634" s="13" t="str">
        <f t="shared" si="1"/>
        <v>2026-06</v>
      </c>
      <c r="D634" s="12">
        <v>46212.0</v>
      </c>
      <c r="E634" s="12">
        <v>46213.0</v>
      </c>
      <c r="F634" s="2" t="s">
        <v>71</v>
      </c>
      <c r="G634" s="2" t="str">
        <f>VLOOKUP(F634,Tabela_1[#ALL],2,0)</f>
        <v>Supermercados Avenida</v>
      </c>
      <c r="H634" s="2" t="str">
        <f>VLOOKUP(F634,Tabela_1[#ALL],3,0)</f>
        <v>varejo</v>
      </c>
      <c r="I634" s="2" t="s">
        <v>39</v>
      </c>
      <c r="J634" s="2">
        <v>3.0</v>
      </c>
      <c r="K634" s="14">
        <v>75153.4</v>
      </c>
      <c r="L634" s="14">
        <v>62926.1</v>
      </c>
      <c r="M634" s="14">
        <v>12227.3</v>
      </c>
      <c r="N634" s="14">
        <v>88.0</v>
      </c>
      <c r="O634" s="14">
        <f t="shared" si="2"/>
        <v>12139.3</v>
      </c>
      <c r="P634" s="2" t="s">
        <v>2597</v>
      </c>
    </row>
    <row r="635" ht="22.5" customHeight="1">
      <c r="A635" s="2" t="s">
        <v>2347</v>
      </c>
      <c r="B635" s="12">
        <v>46197.0</v>
      </c>
      <c r="C635" s="13" t="str">
        <f t="shared" si="1"/>
        <v>2026-06</v>
      </c>
      <c r="D635" s="12">
        <v>46213.0</v>
      </c>
      <c r="E635" s="12">
        <v>46213.0</v>
      </c>
      <c r="F635" s="2" t="s">
        <v>78</v>
      </c>
      <c r="G635" s="2" t="str">
        <f>VLOOKUP(F635,Tabela_1[#ALL],2,0)</f>
        <v>Bom Sabor Alimentos</v>
      </c>
      <c r="H635" s="2" t="str">
        <f>VLOOKUP(F635,Tabela_1[#ALL],3,0)</f>
        <v>alimenticio</v>
      </c>
      <c r="I635" s="2" t="s">
        <v>39</v>
      </c>
      <c r="J635" s="2">
        <v>3.0</v>
      </c>
      <c r="K635" s="14">
        <v>27410.6</v>
      </c>
      <c r="L635" s="14">
        <v>22950.9</v>
      </c>
      <c r="M635" s="14">
        <v>4459.7</v>
      </c>
      <c r="N635" s="14">
        <v>812.0</v>
      </c>
      <c r="O635" s="14">
        <f t="shared" si="2"/>
        <v>3647.7</v>
      </c>
      <c r="P635" s="2" t="s">
        <v>2597</v>
      </c>
    </row>
    <row r="636" ht="22.5" customHeight="1">
      <c r="A636" s="2" t="s">
        <v>2350</v>
      </c>
      <c r="B636" s="12">
        <v>46197.0</v>
      </c>
      <c r="C636" s="13" t="str">
        <f t="shared" si="1"/>
        <v>2026-06</v>
      </c>
      <c r="D636" s="12">
        <v>46226.0</v>
      </c>
      <c r="E636" s="12">
        <v>46223.0</v>
      </c>
      <c r="F636" s="2" t="s">
        <v>98</v>
      </c>
      <c r="G636" s="2" t="str">
        <f>VLOOKUP(F636,Tabela_1[#ALL],2,0)</f>
        <v>Atacarejo Maringá</v>
      </c>
      <c r="H636" s="2" t="str">
        <f>VLOOKUP(F636,Tabela_1[#ALL],3,0)</f>
        <v>distribuidor</v>
      </c>
      <c r="I636" s="2" t="s">
        <v>43</v>
      </c>
      <c r="J636" s="2">
        <v>3.0</v>
      </c>
      <c r="K636" s="14">
        <v>13210.4</v>
      </c>
      <c r="L636" s="14">
        <v>10811.85</v>
      </c>
      <c r="M636" s="14">
        <v>2398.55</v>
      </c>
      <c r="N636" s="14">
        <v>3245.0</v>
      </c>
      <c r="O636" s="14">
        <f t="shared" si="2"/>
        <v>-846.45</v>
      </c>
      <c r="P636" s="2" t="s">
        <v>2597</v>
      </c>
    </row>
    <row r="637" ht="22.5" customHeight="1">
      <c r="A637" s="2" t="s">
        <v>2355</v>
      </c>
      <c r="B637" s="12">
        <v>46197.0</v>
      </c>
      <c r="C637" s="13" t="str">
        <f t="shared" si="1"/>
        <v>2026-06</v>
      </c>
      <c r="D637" s="12">
        <v>46213.0</v>
      </c>
      <c r="E637" s="12">
        <v>46211.0</v>
      </c>
      <c r="F637" s="2" t="s">
        <v>113</v>
      </c>
      <c r="G637" s="2" t="str">
        <f>VLOOKUP(F637,Tabela_1[#ALL],2,0)</f>
        <v>Sabor Forte Alimentos</v>
      </c>
      <c r="H637" s="2" t="str">
        <f>VLOOKUP(F637,Tabela_1[#ALL],3,0)</f>
        <v>alimenticio</v>
      </c>
      <c r="I637" s="2" t="s">
        <v>39</v>
      </c>
      <c r="J637" s="2">
        <v>2.0</v>
      </c>
      <c r="K637" s="14">
        <v>9063.6</v>
      </c>
      <c r="L637" s="14">
        <v>8092.5</v>
      </c>
      <c r="M637" s="14">
        <v>971.1</v>
      </c>
      <c r="N637" s="14">
        <v>2731.0</v>
      </c>
      <c r="O637" s="14">
        <f t="shared" si="2"/>
        <v>-1759.9</v>
      </c>
      <c r="P637" s="2" t="s">
        <v>2597</v>
      </c>
    </row>
    <row r="638" ht="22.5" customHeight="1">
      <c r="A638" s="2" t="s">
        <v>2358</v>
      </c>
      <c r="B638" s="12">
        <v>46197.0</v>
      </c>
      <c r="C638" s="13" t="str">
        <f t="shared" si="1"/>
        <v>2026-06</v>
      </c>
      <c r="D638" s="12">
        <v>46223.0</v>
      </c>
      <c r="E638" s="12">
        <v>46222.0</v>
      </c>
      <c r="F638" s="2" t="s">
        <v>126</v>
      </c>
      <c r="G638" s="2" t="str">
        <f>VLOOKUP(F638,Tabela_1[#ALL],2,0)</f>
        <v>Biolatina Indústria Cooperativa</v>
      </c>
      <c r="H638" s="2" t="str">
        <f>VLOOKUP(F638,Tabela_1[#ALL],3,0)</f>
        <v>farmaceutico</v>
      </c>
      <c r="I638" s="2" t="s">
        <v>43</v>
      </c>
      <c r="J638" s="2">
        <v>3.0</v>
      </c>
      <c r="K638" s="14">
        <v>26775.0</v>
      </c>
      <c r="L638" s="14">
        <v>21037.5</v>
      </c>
      <c r="M638" s="14">
        <v>5737.5</v>
      </c>
      <c r="N638" s="14">
        <v>5857.0</v>
      </c>
      <c r="O638" s="14">
        <f t="shared" si="2"/>
        <v>-119.5</v>
      </c>
      <c r="P638" s="2" t="s">
        <v>2597</v>
      </c>
    </row>
    <row r="639" ht="22.5" customHeight="1">
      <c r="A639" s="2" t="s">
        <v>2359</v>
      </c>
      <c r="B639" s="12">
        <v>46197.0</v>
      </c>
      <c r="C639" s="13" t="str">
        <f t="shared" si="1"/>
        <v>2026-06</v>
      </c>
      <c r="D639" s="12">
        <v>46221.0</v>
      </c>
      <c r="E639" s="12">
        <v>46235.0</v>
      </c>
      <c r="F639" s="2" t="s">
        <v>126</v>
      </c>
      <c r="G639" s="2" t="str">
        <f>VLOOKUP(F639,Tabela_1[#ALL],2,0)</f>
        <v>Biolatina Indústria Cooperativa</v>
      </c>
      <c r="H639" s="2" t="str">
        <f>VLOOKUP(F639,Tabela_1[#ALL],3,0)</f>
        <v>farmaceutico</v>
      </c>
      <c r="I639" s="2" t="s">
        <v>43</v>
      </c>
      <c r="J639" s="2">
        <v>3.0</v>
      </c>
      <c r="K639" s="14">
        <v>17181.6</v>
      </c>
      <c r="L639" s="14">
        <v>13932.1</v>
      </c>
      <c r="M639" s="14">
        <v>3249.5</v>
      </c>
      <c r="N639" s="14">
        <v>7097.0</v>
      </c>
      <c r="O639" s="14">
        <f t="shared" si="2"/>
        <v>-3847.5</v>
      </c>
      <c r="P639" s="2" t="s">
        <v>2599</v>
      </c>
    </row>
    <row r="640" ht="22.5" customHeight="1">
      <c r="A640" s="2" t="s">
        <v>2361</v>
      </c>
      <c r="B640" s="12">
        <v>46197.0</v>
      </c>
      <c r="C640" s="13" t="str">
        <f t="shared" si="1"/>
        <v>2026-06</v>
      </c>
      <c r="D640" s="12">
        <v>46223.0</v>
      </c>
      <c r="E640" s="12">
        <v>46232.0</v>
      </c>
      <c r="F640" s="2" t="s">
        <v>136</v>
      </c>
      <c r="G640" s="2" t="str">
        <f>VLOOKUP(F640,Tabela_1[#ALL],2,0)</f>
        <v>Varejo Familiar Ltda</v>
      </c>
      <c r="H640" s="2" t="str">
        <f>VLOOKUP(F640,Tabela_1[#ALL],3,0)</f>
        <v>varejo</v>
      </c>
      <c r="I640" s="2" t="s">
        <v>49</v>
      </c>
      <c r="J640" s="2">
        <v>2.0</v>
      </c>
      <c r="K640" s="14">
        <v>5865.9</v>
      </c>
      <c r="L640" s="14">
        <v>4920.1</v>
      </c>
      <c r="M640" s="14">
        <v>945.8</v>
      </c>
      <c r="N640" s="14">
        <v>519.0</v>
      </c>
      <c r="O640" s="14">
        <f t="shared" si="2"/>
        <v>426.8</v>
      </c>
      <c r="P640" s="2" t="s">
        <v>2599</v>
      </c>
    </row>
    <row r="641" ht="22.5" customHeight="1">
      <c r="A641" s="2" t="s">
        <v>2363</v>
      </c>
      <c r="B641" s="12">
        <v>46197.0</v>
      </c>
      <c r="C641" s="13" t="str">
        <f t="shared" si="1"/>
        <v>2026-06</v>
      </c>
      <c r="D641" s="12">
        <v>46220.0</v>
      </c>
      <c r="E641" s="12">
        <v>46230.0</v>
      </c>
      <c r="F641" s="2" t="s">
        <v>145</v>
      </c>
      <c r="G641" s="2" t="str">
        <f>VLOOKUP(F641,Tabela_1[#ALL],2,0)</f>
        <v>Mercado Vale Ltda</v>
      </c>
      <c r="H641" s="2" t="str">
        <f>VLOOKUP(F641,Tabela_1[#ALL],3,0)</f>
        <v>varejo</v>
      </c>
      <c r="I641" s="2" t="s">
        <v>91</v>
      </c>
      <c r="J641" s="2">
        <v>1.0</v>
      </c>
      <c r="K641" s="14">
        <v>25350.0</v>
      </c>
      <c r="L641" s="14">
        <v>19890.0</v>
      </c>
      <c r="M641" s="14">
        <v>5460.0</v>
      </c>
      <c r="N641" s="14">
        <v>2144.0</v>
      </c>
      <c r="O641" s="14">
        <f t="shared" si="2"/>
        <v>3316</v>
      </c>
      <c r="P641" s="2" t="s">
        <v>2599</v>
      </c>
    </row>
    <row r="642" ht="22.5" customHeight="1">
      <c r="A642" s="2" t="s">
        <v>2364</v>
      </c>
      <c r="B642" s="12">
        <v>46197.0</v>
      </c>
      <c r="C642" s="13" t="str">
        <f t="shared" si="1"/>
        <v>2026-06</v>
      </c>
      <c r="D642" s="12">
        <v>46228.0</v>
      </c>
      <c r="E642" s="12">
        <v>46226.0</v>
      </c>
      <c r="F642" s="2" t="s">
        <v>149</v>
      </c>
      <c r="G642" s="2" t="str">
        <f>VLOOKUP(F642,Tabela_1[#ALL],2,0)</f>
        <v>EnviaTudo Comércio</v>
      </c>
      <c r="H642" s="2" t="str">
        <f>VLOOKUP(F642,Tabela_1[#ALL],3,0)</f>
        <v>ecommerce</v>
      </c>
      <c r="I642" s="2" t="s">
        <v>91</v>
      </c>
      <c r="J642" s="2">
        <v>1.0</v>
      </c>
      <c r="K642" s="14">
        <v>27280.5</v>
      </c>
      <c r="L642" s="14">
        <v>21404.7</v>
      </c>
      <c r="M642" s="14">
        <v>5875.8</v>
      </c>
      <c r="N642" s="14">
        <v>2692.0</v>
      </c>
      <c r="O642" s="14">
        <f t="shared" si="2"/>
        <v>3183.8</v>
      </c>
      <c r="P642" s="2" t="s">
        <v>2597</v>
      </c>
    </row>
    <row r="643" ht="22.5" customHeight="1">
      <c r="A643" s="2" t="s">
        <v>2367</v>
      </c>
      <c r="B643" s="12">
        <v>46197.0</v>
      </c>
      <c r="C643" s="13" t="str">
        <f t="shared" si="1"/>
        <v>2026-06</v>
      </c>
      <c r="D643" s="12">
        <v>46222.0</v>
      </c>
      <c r="F643" s="2" t="s">
        <v>237</v>
      </c>
      <c r="G643" s="2" t="str">
        <f>VLOOKUP(F643,Tabela_1[#ALL],2,0)</f>
        <v>Sabor Forte Alimentos Comércio</v>
      </c>
      <c r="H643" s="2" t="str">
        <f>VLOOKUP(F643,Tabela_1[#ALL],3,0)</f>
        <v>alimenticio</v>
      </c>
      <c r="I643" s="2" t="s">
        <v>22</v>
      </c>
      <c r="J643" s="2">
        <v>2.0</v>
      </c>
      <c r="K643" s="14">
        <v>25956.0</v>
      </c>
      <c r="L643" s="14">
        <v>23175.0</v>
      </c>
      <c r="M643" s="14">
        <v>2781.0</v>
      </c>
      <c r="N643" s="14">
        <v>1165.0</v>
      </c>
      <c r="O643" s="14">
        <f t="shared" si="2"/>
        <v>1616</v>
      </c>
      <c r="P643" s="2" t="s">
        <v>2598</v>
      </c>
    </row>
    <row r="644" ht="22.5" customHeight="1">
      <c r="A644" s="2" t="s">
        <v>2370</v>
      </c>
      <c r="B644" s="12">
        <v>46198.0</v>
      </c>
      <c r="C644" s="13" t="str">
        <f t="shared" si="1"/>
        <v>2026-06</v>
      </c>
      <c r="D644" s="12">
        <v>46228.0</v>
      </c>
      <c r="E644" s="12">
        <v>46229.0</v>
      </c>
      <c r="F644" s="2" t="s">
        <v>66</v>
      </c>
      <c r="G644" s="2" t="str">
        <f>VLOOKUP(F644,Tabela_1[#ALL],2,0)</f>
        <v>Vale Norte Atacarejo</v>
      </c>
      <c r="H644" s="2" t="str">
        <f>VLOOKUP(F644,Tabela_1[#ALL],3,0)</f>
        <v>varejo</v>
      </c>
      <c r="I644" s="2" t="s">
        <v>22</v>
      </c>
      <c r="J644" s="2">
        <v>3.0</v>
      </c>
      <c r="K644" s="14">
        <v>67923.8</v>
      </c>
      <c r="L644" s="14">
        <v>58759.4</v>
      </c>
      <c r="M644" s="14">
        <v>9164.4</v>
      </c>
      <c r="N644" s="14">
        <v>2064.0</v>
      </c>
      <c r="O644" s="14">
        <f t="shared" si="2"/>
        <v>7100.4</v>
      </c>
      <c r="P644" s="2" t="s">
        <v>2597</v>
      </c>
    </row>
    <row r="645" ht="22.5" customHeight="1">
      <c r="A645" s="2" t="s">
        <v>2374</v>
      </c>
      <c r="B645" s="12">
        <v>46198.0</v>
      </c>
      <c r="C645" s="13" t="str">
        <f t="shared" si="1"/>
        <v>2026-06</v>
      </c>
      <c r="D645" s="12">
        <v>46214.0</v>
      </c>
      <c r="E645" s="12">
        <v>46216.0</v>
      </c>
      <c r="F645" s="2" t="s">
        <v>115</v>
      </c>
      <c r="G645" s="2" t="str">
        <f>VLOOKUP(F645,Tabela_1[#ALL],2,0)</f>
        <v>Comercial Bandeirantes</v>
      </c>
      <c r="H645" s="2" t="str">
        <f>VLOOKUP(F645,Tabela_1[#ALL],3,0)</f>
        <v>distribuidor</v>
      </c>
      <c r="I645" s="2" t="s">
        <v>22</v>
      </c>
      <c r="J645" s="2">
        <v>2.0</v>
      </c>
      <c r="K645" s="14">
        <v>4726.0</v>
      </c>
      <c r="L645" s="14">
        <v>3544.5</v>
      </c>
      <c r="M645" s="14">
        <v>1181.5</v>
      </c>
      <c r="N645" s="14">
        <v>5087.0</v>
      </c>
      <c r="O645" s="14">
        <f t="shared" si="2"/>
        <v>-3905.5</v>
      </c>
      <c r="P645" s="2" t="s">
        <v>2597</v>
      </c>
    </row>
    <row r="646" ht="22.5" customHeight="1">
      <c r="A646" s="2" t="s">
        <v>2379</v>
      </c>
      <c r="B646" s="12">
        <v>46198.0</v>
      </c>
      <c r="C646" s="13" t="str">
        <f t="shared" si="1"/>
        <v>2026-06</v>
      </c>
      <c r="D646" s="12">
        <v>46219.0</v>
      </c>
      <c r="E646" s="12">
        <v>46217.0</v>
      </c>
      <c r="F646" s="2" t="s">
        <v>145</v>
      </c>
      <c r="G646" s="2" t="str">
        <f>VLOOKUP(F646,Tabela_1[#ALL],2,0)</f>
        <v>Mercado Vale Ltda</v>
      </c>
      <c r="H646" s="2" t="str">
        <f>VLOOKUP(F646,Tabela_1[#ALL],3,0)</f>
        <v>varejo</v>
      </c>
      <c r="I646" s="2" t="s">
        <v>91</v>
      </c>
      <c r="J646" s="2">
        <v>2.0</v>
      </c>
      <c r="K646" s="14">
        <v>13389.6</v>
      </c>
      <c r="L646" s="14">
        <v>11955.0</v>
      </c>
      <c r="M646" s="14">
        <v>1434.6</v>
      </c>
      <c r="N646" s="14">
        <v>2624.0</v>
      </c>
      <c r="O646" s="14">
        <f t="shared" si="2"/>
        <v>-1189.4</v>
      </c>
      <c r="P646" s="2" t="s">
        <v>2597</v>
      </c>
    </row>
    <row r="647" ht="22.5" customHeight="1">
      <c r="A647" s="2" t="s">
        <v>2381</v>
      </c>
      <c r="B647" s="12">
        <v>46198.0</v>
      </c>
      <c r="C647" s="13" t="str">
        <f t="shared" si="1"/>
        <v>2026-06</v>
      </c>
      <c r="D647" s="12">
        <v>46225.0</v>
      </c>
      <c r="E647" s="12">
        <v>46226.0</v>
      </c>
      <c r="F647" s="2" t="s">
        <v>161</v>
      </c>
      <c r="G647" s="2" t="str">
        <f>VLOOKUP(F647,Tabela_1[#ALL],2,0)</f>
        <v>Distrib. Litoral Sul Ltda</v>
      </c>
      <c r="H647" s="2" t="str">
        <f>VLOOKUP(F647,Tabela_1[#ALL],3,0)</f>
        <v>distribuidor</v>
      </c>
      <c r="I647" s="2" t="s">
        <v>56</v>
      </c>
      <c r="J647" s="2">
        <v>1.0</v>
      </c>
      <c r="K647" s="14">
        <v>5589.6</v>
      </c>
      <c r="L647" s="14">
        <v>4685.4</v>
      </c>
      <c r="M647" s="14">
        <v>904.2</v>
      </c>
      <c r="N647" s="14">
        <v>1840.0</v>
      </c>
      <c r="O647" s="14">
        <f t="shared" si="2"/>
        <v>-935.8</v>
      </c>
      <c r="P647" s="2" t="s">
        <v>2597</v>
      </c>
    </row>
    <row r="648" ht="22.5" customHeight="1">
      <c r="A648" s="2" t="s">
        <v>2383</v>
      </c>
      <c r="B648" s="12">
        <v>46198.0</v>
      </c>
      <c r="C648" s="13" t="str">
        <f t="shared" si="1"/>
        <v>2026-06</v>
      </c>
      <c r="D648" s="12">
        <v>46230.0</v>
      </c>
      <c r="E648" s="12">
        <v>46230.0</v>
      </c>
      <c r="F648" s="2" t="s">
        <v>205</v>
      </c>
      <c r="G648" s="2" t="str">
        <f>VLOOKUP(F648,Tabela_1[#ALL],2,0)</f>
        <v>Farmalivre Indústria</v>
      </c>
      <c r="H648" s="2" t="str">
        <f>VLOOKUP(F648,Tabela_1[#ALL],3,0)</f>
        <v>farmaceutico</v>
      </c>
      <c r="I648" s="2" t="s">
        <v>91</v>
      </c>
      <c r="J648" s="2">
        <v>2.0</v>
      </c>
      <c r="K648" s="14">
        <v>7425.6</v>
      </c>
      <c r="L648" s="14">
        <v>5569.2</v>
      </c>
      <c r="M648" s="14">
        <v>1856.4</v>
      </c>
      <c r="N648" s="14">
        <v>1185.0</v>
      </c>
      <c r="O648" s="14">
        <f t="shared" si="2"/>
        <v>671.4</v>
      </c>
      <c r="P648" s="2" t="s">
        <v>2597</v>
      </c>
    </row>
    <row r="649" ht="22.5" customHeight="1">
      <c r="A649" s="2" t="s">
        <v>2385</v>
      </c>
      <c r="B649" s="12">
        <v>46199.0</v>
      </c>
      <c r="C649" s="13" t="str">
        <f t="shared" si="1"/>
        <v>2026-06</v>
      </c>
      <c r="D649" s="12">
        <v>46227.0</v>
      </c>
      <c r="E649" s="12">
        <v>46227.0</v>
      </c>
      <c r="F649" s="2" t="s">
        <v>23</v>
      </c>
      <c r="G649" s="2" t="str">
        <f>VLOOKUP(F649,Tabela_1[#ALL],2,0)</f>
        <v>Nova Era Cosméticos</v>
      </c>
      <c r="H649" s="2" t="str">
        <f>VLOOKUP(F649,Tabela_1[#ALL],3,0)</f>
        <v>cosmetico</v>
      </c>
      <c r="I649" s="2" t="s">
        <v>22</v>
      </c>
      <c r="J649" s="2">
        <v>2.0</v>
      </c>
      <c r="K649" s="14">
        <v>273878.4</v>
      </c>
      <c r="L649" s="14">
        <v>218326.6</v>
      </c>
      <c r="M649" s="14">
        <v>55551.8</v>
      </c>
      <c r="N649" s="14">
        <v>6160.0</v>
      </c>
      <c r="O649" s="14">
        <f t="shared" si="2"/>
        <v>49391.8</v>
      </c>
      <c r="P649" s="2" t="s">
        <v>2597</v>
      </c>
    </row>
    <row r="650" ht="22.5" customHeight="1">
      <c r="A650" s="2" t="s">
        <v>2389</v>
      </c>
      <c r="B650" s="12">
        <v>46199.0</v>
      </c>
      <c r="C650" s="13" t="str">
        <f t="shared" si="1"/>
        <v>2026-06</v>
      </c>
      <c r="D650" s="12">
        <v>46227.0</v>
      </c>
      <c r="E650" s="12">
        <v>46228.0</v>
      </c>
      <c r="F650" s="2" t="s">
        <v>61</v>
      </c>
      <c r="G650" s="2" t="str">
        <f>VLOOKUP(F650,Tabela_1[#ALL],2,0)</f>
        <v>Mercosul Atacado</v>
      </c>
      <c r="H650" s="2" t="str">
        <f>VLOOKUP(F650,Tabela_1[#ALL],3,0)</f>
        <v>distribuidor</v>
      </c>
      <c r="I650" s="2" t="s">
        <v>39</v>
      </c>
      <c r="J650" s="2">
        <v>2.0</v>
      </c>
      <c r="K650" s="14">
        <v>16575.0</v>
      </c>
      <c r="L650" s="14">
        <v>13005.0</v>
      </c>
      <c r="M650" s="14">
        <v>3570.0</v>
      </c>
      <c r="N650" s="14">
        <v>3354.0</v>
      </c>
      <c r="O650" s="14">
        <f t="shared" si="2"/>
        <v>216</v>
      </c>
      <c r="P650" s="2" t="s">
        <v>2597</v>
      </c>
    </row>
    <row r="651" ht="22.5" customHeight="1">
      <c r="A651" s="2" t="s">
        <v>2390</v>
      </c>
      <c r="B651" s="12">
        <v>46199.0</v>
      </c>
      <c r="C651" s="13" t="str">
        <f t="shared" si="1"/>
        <v>2026-06</v>
      </c>
      <c r="D651" s="12">
        <v>46219.0</v>
      </c>
      <c r="E651" s="12">
        <v>46221.0</v>
      </c>
      <c r="F651" s="2" t="s">
        <v>64</v>
      </c>
      <c r="G651" s="2" t="str">
        <f>VLOOKUP(F651,Tabela_1[#ALL],2,0)</f>
        <v>Aromatic</v>
      </c>
      <c r="H651" s="2" t="str">
        <f>VLOOKUP(F651,Tabela_1[#ALL],3,0)</f>
        <v>cosmetico</v>
      </c>
      <c r="I651" s="2" t="s">
        <v>56</v>
      </c>
      <c r="J651" s="2">
        <v>2.0</v>
      </c>
      <c r="K651" s="14">
        <v>19156.2</v>
      </c>
      <c r="L651" s="14">
        <v>15051.3</v>
      </c>
      <c r="M651" s="14">
        <v>4104.9</v>
      </c>
      <c r="N651" s="14">
        <v>4869.0</v>
      </c>
      <c r="O651" s="14">
        <f t="shared" si="2"/>
        <v>-764.1</v>
      </c>
      <c r="P651" s="2" t="s">
        <v>2597</v>
      </c>
    </row>
    <row r="652" ht="22.5" customHeight="1">
      <c r="A652" s="2" t="s">
        <v>2391</v>
      </c>
      <c r="B652" s="12">
        <v>46199.0</v>
      </c>
      <c r="C652" s="13" t="str">
        <f t="shared" si="1"/>
        <v>2026-06</v>
      </c>
      <c r="D652" s="12">
        <v>46215.0</v>
      </c>
      <c r="E652" s="12">
        <v>46212.0</v>
      </c>
      <c r="F652" s="2" t="s">
        <v>98</v>
      </c>
      <c r="G652" s="2" t="str">
        <f>VLOOKUP(F652,Tabela_1[#ALL],2,0)</f>
        <v>Atacarejo Maringá</v>
      </c>
      <c r="H652" s="2" t="str">
        <f>VLOOKUP(F652,Tabela_1[#ALL],3,0)</f>
        <v>distribuidor</v>
      </c>
      <c r="I652" s="2" t="s">
        <v>43</v>
      </c>
      <c r="J652" s="2">
        <v>2.0</v>
      </c>
      <c r="K652" s="14">
        <v>10252.2</v>
      </c>
      <c r="L652" s="14">
        <v>8055.3</v>
      </c>
      <c r="M652" s="14">
        <v>2196.9</v>
      </c>
      <c r="N652" s="14">
        <v>3029.0</v>
      </c>
      <c r="O652" s="14">
        <f t="shared" si="2"/>
        <v>-832.1</v>
      </c>
      <c r="P652" s="2" t="s">
        <v>2597</v>
      </c>
    </row>
    <row r="653" ht="22.5" customHeight="1">
      <c r="A653" s="2" t="s">
        <v>2393</v>
      </c>
      <c r="B653" s="12">
        <v>46199.0</v>
      </c>
      <c r="C653" s="13" t="str">
        <f t="shared" si="1"/>
        <v>2026-06</v>
      </c>
      <c r="D653" s="12">
        <v>46225.0</v>
      </c>
      <c r="E653" s="12">
        <v>46225.0</v>
      </c>
      <c r="F653" s="2" t="s">
        <v>101</v>
      </c>
      <c r="G653" s="2" t="str">
        <f>VLOOKUP(F653,Tabela_1[#ALL],2,0)</f>
        <v>Vivê Beauty</v>
      </c>
      <c r="H653" s="2" t="str">
        <f>VLOOKUP(F653,Tabela_1[#ALL],3,0)</f>
        <v>cosmetico</v>
      </c>
      <c r="I653" s="2" t="s">
        <v>91</v>
      </c>
      <c r="J653" s="2">
        <v>3.0</v>
      </c>
      <c r="K653" s="14">
        <v>7347.2</v>
      </c>
      <c r="L653" s="14">
        <v>6151.9</v>
      </c>
      <c r="M653" s="14">
        <v>1195.3</v>
      </c>
      <c r="N653" s="14">
        <v>1415.0</v>
      </c>
      <c r="O653" s="14">
        <f t="shared" si="2"/>
        <v>-219.7</v>
      </c>
      <c r="P653" s="2" t="s">
        <v>2597</v>
      </c>
    </row>
    <row r="654" ht="22.5" customHeight="1">
      <c r="A654" s="2" t="s">
        <v>2396</v>
      </c>
      <c r="B654" s="12">
        <v>46199.0</v>
      </c>
      <c r="C654" s="13" t="str">
        <f t="shared" si="1"/>
        <v>2026-06</v>
      </c>
      <c r="D654" s="12">
        <v>46224.0</v>
      </c>
      <c r="E654" s="12">
        <v>46230.0</v>
      </c>
      <c r="F654" s="2" t="s">
        <v>126</v>
      </c>
      <c r="G654" s="2" t="str">
        <f>VLOOKUP(F654,Tabela_1[#ALL],2,0)</f>
        <v>Biolatina Indústria Cooperativa</v>
      </c>
      <c r="H654" s="2" t="str">
        <f>VLOOKUP(F654,Tabela_1[#ALL],3,0)</f>
        <v>farmaceutico</v>
      </c>
      <c r="I654" s="2" t="s">
        <v>43</v>
      </c>
      <c r="J654" s="2">
        <v>3.0</v>
      </c>
      <c r="K654" s="14">
        <v>21306.4</v>
      </c>
      <c r="L654" s="14">
        <v>17276.5</v>
      </c>
      <c r="M654" s="14">
        <v>4029.9</v>
      </c>
      <c r="N654" s="14">
        <v>5952.0</v>
      </c>
      <c r="O654" s="14">
        <f t="shared" si="2"/>
        <v>-1922.1</v>
      </c>
      <c r="P654" s="2" t="s">
        <v>2597</v>
      </c>
    </row>
    <row r="655" ht="22.5" customHeight="1">
      <c r="A655" s="2" t="s">
        <v>2399</v>
      </c>
      <c r="B655" s="12">
        <v>46199.0</v>
      </c>
      <c r="C655" s="13" t="str">
        <f t="shared" si="1"/>
        <v>2026-06</v>
      </c>
      <c r="D655" s="12">
        <v>46218.0</v>
      </c>
      <c r="E655" s="12">
        <v>46227.0</v>
      </c>
      <c r="F655" s="2" t="s">
        <v>138</v>
      </c>
      <c r="G655" s="2" t="str">
        <f>VLOOKUP(F655,Tabela_1[#ALL],2,0)</f>
        <v>Mercatto ME</v>
      </c>
      <c r="H655" s="2" t="str">
        <f>VLOOKUP(F655,Tabela_1[#ALL],3,0)</f>
        <v>varejo</v>
      </c>
      <c r="I655" s="2" t="s">
        <v>39</v>
      </c>
      <c r="J655" s="2">
        <v>2.0</v>
      </c>
      <c r="K655" s="14">
        <v>7925.4</v>
      </c>
      <c r="L655" s="14">
        <v>6746.2</v>
      </c>
      <c r="M655" s="14">
        <v>1179.2</v>
      </c>
      <c r="N655" s="14">
        <v>1416.0</v>
      </c>
      <c r="O655" s="14">
        <f t="shared" si="2"/>
        <v>-236.8</v>
      </c>
      <c r="P655" s="2" t="s">
        <v>2599</v>
      </c>
    </row>
    <row r="656" ht="22.5" customHeight="1">
      <c r="A656" s="2" t="s">
        <v>2402</v>
      </c>
      <c r="B656" s="12">
        <v>46199.0</v>
      </c>
      <c r="C656" s="13" t="str">
        <f t="shared" si="1"/>
        <v>2026-06</v>
      </c>
      <c r="D656" s="12">
        <v>46230.0</v>
      </c>
      <c r="F656" s="2" t="s">
        <v>140</v>
      </c>
      <c r="G656" s="2" t="str">
        <f>VLOOKUP(F656,Tabela_1[#ALL],2,0)</f>
        <v>EssenciaPura Comércio</v>
      </c>
      <c r="H656" s="2" t="str">
        <f>VLOOKUP(F656,Tabela_1[#ALL],3,0)</f>
        <v>cosmetico</v>
      </c>
      <c r="I656" s="2" t="s">
        <v>56</v>
      </c>
      <c r="J656" s="2">
        <v>2.0</v>
      </c>
      <c r="K656" s="14">
        <v>26581.3</v>
      </c>
      <c r="L656" s="14">
        <v>22294.5</v>
      </c>
      <c r="M656" s="14">
        <v>4286.8</v>
      </c>
      <c r="N656" s="14">
        <v>1782.0</v>
      </c>
      <c r="O656" s="14">
        <f t="shared" si="2"/>
        <v>2504.8</v>
      </c>
      <c r="P656" s="2" t="s">
        <v>2598</v>
      </c>
    </row>
    <row r="657" ht="22.5" customHeight="1">
      <c r="A657" s="2" t="s">
        <v>2407</v>
      </c>
      <c r="B657" s="12">
        <v>46199.0</v>
      </c>
      <c r="C657" s="13" t="str">
        <f t="shared" si="1"/>
        <v>2026-06</v>
      </c>
      <c r="D657" s="12">
        <v>46227.0</v>
      </c>
      <c r="E657" s="12">
        <v>46234.0</v>
      </c>
      <c r="F657" s="2" t="s">
        <v>161</v>
      </c>
      <c r="G657" s="2" t="str">
        <f>VLOOKUP(F657,Tabela_1[#ALL],2,0)</f>
        <v>Distrib. Litoral Sul Ltda</v>
      </c>
      <c r="H657" s="2" t="str">
        <f>VLOOKUP(F657,Tabela_1[#ALL],3,0)</f>
        <v>distribuidor</v>
      </c>
      <c r="I657" s="2" t="s">
        <v>56</v>
      </c>
      <c r="J657" s="2">
        <v>1.0</v>
      </c>
      <c r="K657" s="14">
        <v>3869.2</v>
      </c>
      <c r="L657" s="14">
        <v>3243.3</v>
      </c>
      <c r="M657" s="14">
        <v>625.9</v>
      </c>
      <c r="N657" s="14">
        <v>1633.0</v>
      </c>
      <c r="O657" s="14">
        <f t="shared" si="2"/>
        <v>-1007.1</v>
      </c>
      <c r="P657" s="2" t="s">
        <v>2599</v>
      </c>
    </row>
    <row r="658" ht="22.5" customHeight="1">
      <c r="A658" s="2" t="s">
        <v>2409</v>
      </c>
      <c r="B658" s="12">
        <v>46199.0</v>
      </c>
      <c r="C658" s="13" t="str">
        <f t="shared" si="1"/>
        <v>2026-06</v>
      </c>
      <c r="D658" s="12">
        <v>46220.0</v>
      </c>
      <c r="E658" s="12">
        <v>46219.0</v>
      </c>
      <c r="F658" s="2" t="s">
        <v>163</v>
      </c>
      <c r="G658" s="2" t="str">
        <f>VLOOKUP(F658,Tabela_1[#ALL],2,0)</f>
        <v>RotaFácil S.A.</v>
      </c>
      <c r="H658" s="2" t="str">
        <f>VLOOKUP(F658,Tabela_1[#ALL],3,0)</f>
        <v>ecommerce</v>
      </c>
      <c r="I658" s="2" t="s">
        <v>39</v>
      </c>
      <c r="J658" s="2">
        <v>1.0</v>
      </c>
      <c r="K658" s="14">
        <v>5395.0</v>
      </c>
      <c r="L658" s="14">
        <v>4233.0</v>
      </c>
      <c r="M658" s="14">
        <v>1162.0</v>
      </c>
      <c r="N658" s="14">
        <v>1145.0</v>
      </c>
      <c r="O658" s="14">
        <f t="shared" si="2"/>
        <v>17</v>
      </c>
      <c r="P658" s="2" t="s">
        <v>2597</v>
      </c>
    </row>
    <row r="659" ht="22.5" customHeight="1">
      <c r="A659" s="2" t="s">
        <v>2410</v>
      </c>
      <c r="B659" s="12">
        <v>46199.0</v>
      </c>
      <c r="C659" s="13" t="str">
        <f t="shared" si="1"/>
        <v>2026-06</v>
      </c>
      <c r="D659" s="12">
        <v>46227.0</v>
      </c>
      <c r="F659" s="2" t="s">
        <v>179</v>
      </c>
      <c r="G659" s="2" t="str">
        <f>VLOOKUP(F659,Tabela_1[#ALL],2,0)</f>
        <v>Mercosul Comércio EPP (Joinville)</v>
      </c>
      <c r="H659" s="2" t="str">
        <f>VLOOKUP(F659,Tabela_1[#ALL],3,0)</f>
        <v>distribuidor</v>
      </c>
      <c r="I659" s="2" t="s">
        <v>39</v>
      </c>
      <c r="J659" s="2">
        <v>2.0</v>
      </c>
      <c r="K659" s="14">
        <v>13859.0</v>
      </c>
      <c r="L659" s="14">
        <v>11046.6</v>
      </c>
      <c r="M659" s="14">
        <v>2812.4</v>
      </c>
      <c r="N659" s="14">
        <v>4685.0</v>
      </c>
      <c r="O659" s="14">
        <f t="shared" si="2"/>
        <v>-1872.6</v>
      </c>
      <c r="P659" s="2" t="s">
        <v>2598</v>
      </c>
    </row>
    <row r="660" ht="22.5" customHeight="1">
      <c r="A660" s="2" t="s">
        <v>2411</v>
      </c>
      <c r="B660" s="12">
        <v>46199.0</v>
      </c>
      <c r="C660" s="13" t="str">
        <f t="shared" si="1"/>
        <v>2026-06</v>
      </c>
      <c r="D660" s="12">
        <v>46222.0</v>
      </c>
      <c r="E660" s="12">
        <v>46220.0</v>
      </c>
      <c r="F660" s="2" t="s">
        <v>195</v>
      </c>
      <c r="G660" s="2" t="str">
        <f>VLOOKUP(F660,Tabela_1[#ALL],2,0)</f>
        <v>Lumen Beauty</v>
      </c>
      <c r="H660" s="2" t="str">
        <f>VLOOKUP(F660,Tabela_1[#ALL],3,0)</f>
        <v>cosmetico</v>
      </c>
      <c r="I660" s="2" t="s">
        <v>43</v>
      </c>
      <c r="J660" s="2">
        <v>3.0</v>
      </c>
      <c r="K660" s="14">
        <v>100609.4</v>
      </c>
      <c r="L660" s="14">
        <v>84334.35</v>
      </c>
      <c r="M660" s="14">
        <v>16275.05</v>
      </c>
      <c r="N660" s="14">
        <v>657.0</v>
      </c>
      <c r="O660" s="14">
        <f t="shared" si="2"/>
        <v>15618.05</v>
      </c>
      <c r="P660" s="2" t="s">
        <v>2597</v>
      </c>
    </row>
    <row r="661" ht="22.5" customHeight="1">
      <c r="A661" s="2" t="s">
        <v>2417</v>
      </c>
      <c r="B661" s="12">
        <v>46199.0</v>
      </c>
      <c r="C661" s="13" t="str">
        <f t="shared" si="1"/>
        <v>2026-06</v>
      </c>
      <c r="D661" s="12">
        <v>46226.0</v>
      </c>
      <c r="E661" s="12">
        <v>46223.0</v>
      </c>
      <c r="F661" s="2" t="s">
        <v>201</v>
      </c>
      <c r="G661" s="2" t="str">
        <f>VLOOKUP(F661,Tabela_1[#ALL],2,0)</f>
        <v>PackExpress Ltda</v>
      </c>
      <c r="H661" s="2" t="str">
        <f>VLOOKUP(F661,Tabela_1[#ALL],3,0)</f>
        <v>ecommerce</v>
      </c>
      <c r="I661" s="2" t="s">
        <v>56</v>
      </c>
      <c r="J661" s="2">
        <v>2.0</v>
      </c>
      <c r="K661" s="14">
        <v>33436.2</v>
      </c>
      <c r="L661" s="14">
        <v>26271.3</v>
      </c>
      <c r="M661" s="14">
        <v>7164.9</v>
      </c>
      <c r="N661" s="14">
        <v>865.0</v>
      </c>
      <c r="O661" s="14">
        <f t="shared" si="2"/>
        <v>6299.9</v>
      </c>
      <c r="P661" s="2" t="s">
        <v>2597</v>
      </c>
    </row>
    <row r="662" ht="22.5" customHeight="1">
      <c r="A662" s="2" t="s">
        <v>2420</v>
      </c>
      <c r="B662" s="12">
        <v>46199.0</v>
      </c>
      <c r="C662" s="13" t="str">
        <f t="shared" si="1"/>
        <v>2026-06</v>
      </c>
      <c r="D662" s="12">
        <v>46222.0</v>
      </c>
      <c r="E662" s="12">
        <v>46223.0</v>
      </c>
      <c r="F662" s="2" t="s">
        <v>213</v>
      </c>
      <c r="G662" s="2" t="str">
        <f>VLOOKUP(F662,Tabela_1[#ALL],2,0)</f>
        <v>Doce Vale ME</v>
      </c>
      <c r="H662" s="2" t="str">
        <f>VLOOKUP(F662,Tabela_1[#ALL],3,0)</f>
        <v>alimenticio</v>
      </c>
      <c r="I662" s="2" t="s">
        <v>39</v>
      </c>
      <c r="J662" s="2">
        <v>1.0</v>
      </c>
      <c r="K662" s="14">
        <v>20328.0</v>
      </c>
      <c r="L662" s="14">
        <v>18150.0</v>
      </c>
      <c r="M662" s="14">
        <v>2178.0</v>
      </c>
      <c r="N662" s="14">
        <v>1551.0</v>
      </c>
      <c r="O662" s="14">
        <f t="shared" si="2"/>
        <v>627</v>
      </c>
      <c r="P662" s="2" t="s">
        <v>2597</v>
      </c>
    </row>
    <row r="663" ht="22.5" customHeight="1">
      <c r="A663" s="2" t="s">
        <v>2421</v>
      </c>
      <c r="B663" s="12">
        <v>46199.0</v>
      </c>
      <c r="C663" s="13" t="str">
        <f t="shared" si="1"/>
        <v>2026-06</v>
      </c>
      <c r="D663" s="12">
        <v>46233.0</v>
      </c>
      <c r="E663" s="12">
        <v>46232.0</v>
      </c>
      <c r="F663" s="2" t="s">
        <v>217</v>
      </c>
      <c r="G663" s="2" t="str">
        <f>VLOOKUP(F663,Tabela_1[#ALL],2,0)</f>
        <v>Cherie Cosméticos Ltda</v>
      </c>
      <c r="H663" s="2" t="str">
        <f>VLOOKUP(F663,Tabela_1[#ALL],3,0)</f>
        <v>cosmetico</v>
      </c>
      <c r="I663" s="2" t="s">
        <v>56</v>
      </c>
      <c r="J663" s="2">
        <v>2.0</v>
      </c>
      <c r="K663" s="14">
        <v>6485.9</v>
      </c>
      <c r="L663" s="14">
        <v>5169.7</v>
      </c>
      <c r="M663" s="14">
        <v>1316.2</v>
      </c>
      <c r="N663" s="14">
        <v>2330.0</v>
      </c>
      <c r="O663" s="14">
        <f t="shared" si="2"/>
        <v>-1013.8</v>
      </c>
      <c r="P663" s="2" t="s">
        <v>2597</v>
      </c>
    </row>
    <row r="664" ht="22.5" customHeight="1">
      <c r="A664" s="2" t="s">
        <v>2424</v>
      </c>
      <c r="B664" s="12">
        <v>46199.0</v>
      </c>
      <c r="C664" s="13" t="str">
        <f t="shared" si="1"/>
        <v>2026-06</v>
      </c>
      <c r="D664" s="12">
        <v>46229.0</v>
      </c>
      <c r="E664" s="12">
        <v>46227.0</v>
      </c>
      <c r="F664" s="2" t="s">
        <v>223</v>
      </c>
      <c r="G664" s="2" t="str">
        <f>VLOOKUP(F664,Tabela_1[#ALL],2,0)</f>
        <v>Mercosul Comércio S.A.</v>
      </c>
      <c r="H664" s="2" t="str">
        <f>VLOOKUP(F664,Tabela_1[#ALL],3,0)</f>
        <v>distribuidor</v>
      </c>
      <c r="I664" s="2" t="s">
        <v>91</v>
      </c>
      <c r="J664" s="2">
        <v>1.0</v>
      </c>
      <c r="K664" s="14">
        <v>3012.8</v>
      </c>
      <c r="L664" s="14">
        <v>2690.0</v>
      </c>
      <c r="M664" s="14">
        <v>322.8</v>
      </c>
      <c r="N664" s="14">
        <v>300.0</v>
      </c>
      <c r="O664" s="14">
        <f t="shared" si="2"/>
        <v>22.8</v>
      </c>
      <c r="P664" s="2" t="s">
        <v>2597</v>
      </c>
    </row>
    <row r="665" ht="22.5" customHeight="1">
      <c r="A665" s="2" t="s">
        <v>2426</v>
      </c>
      <c r="B665" s="12">
        <v>46200.0</v>
      </c>
      <c r="C665" s="13" t="str">
        <f t="shared" si="1"/>
        <v>2026-06</v>
      </c>
      <c r="D665" s="12">
        <v>46232.0</v>
      </c>
      <c r="E665" s="12">
        <v>46229.0</v>
      </c>
      <c r="F665" s="2" t="s">
        <v>111</v>
      </c>
      <c r="G665" s="2" t="str">
        <f>VLOOKUP(F665,Tabela_1[#ALL],2,0)</f>
        <v>Salutar Farma Comércio</v>
      </c>
      <c r="H665" s="2" t="str">
        <f>VLOOKUP(F665,Tabela_1[#ALL],3,0)</f>
        <v>farmaceutico</v>
      </c>
      <c r="I665" s="2" t="s">
        <v>43</v>
      </c>
      <c r="J665" s="2">
        <v>3.0</v>
      </c>
      <c r="K665" s="14">
        <v>6724.5</v>
      </c>
      <c r="L665" s="14">
        <v>5027.4</v>
      </c>
      <c r="M665" s="14">
        <v>1697.1</v>
      </c>
      <c r="N665" s="14">
        <v>2714.0</v>
      </c>
      <c r="O665" s="14">
        <f t="shared" si="2"/>
        <v>-1016.9</v>
      </c>
      <c r="P665" s="2" t="s">
        <v>2597</v>
      </c>
    </row>
    <row r="666" ht="22.5" customHeight="1">
      <c r="A666" s="2" t="s">
        <v>2429</v>
      </c>
      <c r="B666" s="12">
        <v>46200.0</v>
      </c>
      <c r="C666" s="13" t="str">
        <f t="shared" si="1"/>
        <v>2026-06</v>
      </c>
      <c r="D666" s="12">
        <v>46221.0</v>
      </c>
      <c r="E666" s="12">
        <v>46226.0</v>
      </c>
      <c r="F666" s="2" t="s">
        <v>159</v>
      </c>
      <c r="G666" s="2" t="str">
        <f>VLOOKUP(F666,Tabela_1[#ALL],2,0)</f>
        <v>Biolatina Indústria EPP</v>
      </c>
      <c r="H666" s="2" t="str">
        <f>VLOOKUP(F666,Tabela_1[#ALL],3,0)</f>
        <v>farmaceutico</v>
      </c>
      <c r="I666" s="2" t="s">
        <v>39</v>
      </c>
      <c r="J666" s="2">
        <v>3.0</v>
      </c>
      <c r="K666" s="14">
        <v>22556.5</v>
      </c>
      <c r="L666" s="14">
        <v>19325.7</v>
      </c>
      <c r="M666" s="14">
        <v>3230.8</v>
      </c>
      <c r="N666" s="14">
        <v>498.0</v>
      </c>
      <c r="O666" s="14">
        <f t="shared" si="2"/>
        <v>2732.8</v>
      </c>
      <c r="P666" s="2" t="s">
        <v>2599</v>
      </c>
    </row>
    <row r="667" ht="22.5" customHeight="1">
      <c r="A667" s="2" t="s">
        <v>2432</v>
      </c>
      <c r="B667" s="12">
        <v>46200.0</v>
      </c>
      <c r="C667" s="13" t="str">
        <f t="shared" si="1"/>
        <v>2026-06</v>
      </c>
      <c r="D667" s="12">
        <v>46227.0</v>
      </c>
      <c r="E667" s="12">
        <v>46226.0</v>
      </c>
      <c r="F667" s="2" t="s">
        <v>185</v>
      </c>
      <c r="G667" s="2" t="str">
        <f>VLOOKUP(F667,Tabela_1[#ALL],2,0)</f>
        <v>Floratta Cosméticos S.A.</v>
      </c>
      <c r="H667" s="2" t="str">
        <f>VLOOKUP(F667,Tabela_1[#ALL],3,0)</f>
        <v>cosmetico</v>
      </c>
      <c r="I667" s="2" t="s">
        <v>22</v>
      </c>
      <c r="J667" s="2">
        <v>3.0</v>
      </c>
      <c r="K667" s="14">
        <v>42338.8</v>
      </c>
      <c r="L667" s="14">
        <v>36626.5</v>
      </c>
      <c r="M667" s="14">
        <v>5712.3</v>
      </c>
      <c r="N667" s="14">
        <v>3260.0</v>
      </c>
      <c r="O667" s="14">
        <f t="shared" si="2"/>
        <v>2452.3</v>
      </c>
      <c r="P667" s="2" t="s">
        <v>2597</v>
      </c>
    </row>
    <row r="668" ht="22.5" customHeight="1">
      <c r="A668" s="2" t="s">
        <v>2436</v>
      </c>
      <c r="B668" s="12">
        <v>46200.0</v>
      </c>
      <c r="C668" s="13" t="str">
        <f t="shared" si="1"/>
        <v>2026-06</v>
      </c>
      <c r="D668" s="12">
        <v>46215.0</v>
      </c>
      <c r="F668" s="2" t="s">
        <v>197</v>
      </c>
      <c r="G668" s="2" t="str">
        <f>VLOOKUP(F668,Tabela_1[#ALL],2,0)</f>
        <v>Sabor Forte Alimentos Indústria</v>
      </c>
      <c r="H668" s="2" t="str">
        <f>VLOOKUP(F668,Tabela_1[#ALL],3,0)</f>
        <v>alimenticio</v>
      </c>
      <c r="I668" s="2" t="s">
        <v>49</v>
      </c>
      <c r="J668" s="2">
        <v>3.0</v>
      </c>
      <c r="K668" s="14">
        <v>12766.6</v>
      </c>
      <c r="L668" s="14">
        <v>11044.2</v>
      </c>
      <c r="M668" s="14">
        <v>1722.4</v>
      </c>
      <c r="N668" s="14">
        <v>2252.0</v>
      </c>
      <c r="O668" s="14">
        <f t="shared" si="2"/>
        <v>-529.6</v>
      </c>
      <c r="P668" s="2" t="s">
        <v>2600</v>
      </c>
    </row>
    <row r="669" ht="22.5" customHeight="1">
      <c r="A669" s="2" t="s">
        <v>2438</v>
      </c>
      <c r="B669" s="12">
        <v>46200.0</v>
      </c>
      <c r="C669" s="13" t="str">
        <f t="shared" si="1"/>
        <v>2026-06</v>
      </c>
      <c r="D669" s="12">
        <v>46229.0</v>
      </c>
      <c r="F669" s="2" t="s">
        <v>253</v>
      </c>
      <c r="G669" s="2" t="str">
        <f>VLOOKUP(F669,Tabela_1[#ALL],2,0)</f>
        <v>Atacadão Centro Oeste S.A.</v>
      </c>
      <c r="H669" s="2" t="str">
        <f>VLOOKUP(F669,Tabela_1[#ALL],3,0)</f>
        <v>distribuidor</v>
      </c>
      <c r="I669" s="2" t="s">
        <v>22</v>
      </c>
      <c r="J669" s="2">
        <v>2.0</v>
      </c>
      <c r="K669" s="14">
        <v>2316.2</v>
      </c>
      <c r="L669" s="14">
        <v>1942.8</v>
      </c>
      <c r="M669" s="14">
        <v>373.4</v>
      </c>
      <c r="N669" s="14">
        <v>1991.0</v>
      </c>
      <c r="O669" s="14">
        <f t="shared" si="2"/>
        <v>-1617.6</v>
      </c>
      <c r="P669" s="2" t="s">
        <v>2598</v>
      </c>
    </row>
    <row r="670" ht="22.5" customHeight="1">
      <c r="A670" s="2" t="s">
        <v>2443</v>
      </c>
      <c r="B670" s="12">
        <v>46201.0</v>
      </c>
      <c r="C670" s="13" t="str">
        <f t="shared" si="1"/>
        <v>2026-06</v>
      </c>
      <c r="D670" s="12">
        <v>46218.0</v>
      </c>
      <c r="F670" s="2" t="s">
        <v>31</v>
      </c>
      <c r="G670" s="2" t="str">
        <f>VLOOKUP(F670,Tabela_1[#ALL],2,0)</f>
        <v>Distribuidora Sul PR</v>
      </c>
      <c r="H670" s="2" t="str">
        <f>VLOOKUP(F670,Tabela_1[#ALL],3,0)</f>
        <v>distribuidor</v>
      </c>
      <c r="I670" s="2" t="s">
        <v>16</v>
      </c>
      <c r="J670" s="2">
        <v>1.0</v>
      </c>
      <c r="K670" s="14">
        <v>124930.0</v>
      </c>
      <c r="L670" s="14">
        <v>98022.0</v>
      </c>
      <c r="M670" s="14">
        <v>26908.0</v>
      </c>
      <c r="N670" s="14">
        <v>10214.0</v>
      </c>
      <c r="O670" s="14">
        <f t="shared" si="2"/>
        <v>16694</v>
      </c>
      <c r="P670" s="2" t="s">
        <v>2598</v>
      </c>
    </row>
    <row r="671" ht="22.5" customHeight="1">
      <c r="A671" s="2" t="s">
        <v>2444</v>
      </c>
      <c r="B671" s="12">
        <v>46201.0</v>
      </c>
      <c r="C671" s="13" t="str">
        <f t="shared" si="1"/>
        <v>2026-06</v>
      </c>
      <c r="D671" s="12">
        <v>46216.0</v>
      </c>
      <c r="E671" s="12">
        <v>46229.0</v>
      </c>
      <c r="F671" s="2" t="s">
        <v>57</v>
      </c>
      <c r="G671" s="2" t="str">
        <f>VLOOKUP(F671,Tabela_1[#ALL],2,0)</f>
        <v>Distribuidora Oeste</v>
      </c>
      <c r="H671" s="2" t="str">
        <f>VLOOKUP(F671,Tabela_1[#ALL],3,0)</f>
        <v>distribuidor</v>
      </c>
      <c r="I671" s="2" t="s">
        <v>39</v>
      </c>
      <c r="J671" s="2">
        <v>1.0</v>
      </c>
      <c r="K671" s="14">
        <v>43352.4</v>
      </c>
      <c r="L671" s="14">
        <v>35094.8</v>
      </c>
      <c r="M671" s="14">
        <v>8257.6</v>
      </c>
      <c r="N671" s="14">
        <v>190.0</v>
      </c>
      <c r="O671" s="14">
        <f t="shared" si="2"/>
        <v>8067.6</v>
      </c>
      <c r="P671" s="2" t="s">
        <v>2599</v>
      </c>
    </row>
    <row r="672" ht="22.5" customHeight="1">
      <c r="A672" s="2" t="s">
        <v>2447</v>
      </c>
      <c r="B672" s="12">
        <v>46201.0</v>
      </c>
      <c r="C672" s="13" t="str">
        <f t="shared" si="1"/>
        <v>2026-06</v>
      </c>
      <c r="D672" s="12">
        <v>46218.0</v>
      </c>
      <c r="E672" s="12">
        <v>46219.0</v>
      </c>
      <c r="F672" s="2" t="s">
        <v>183</v>
      </c>
      <c r="G672" s="2" t="str">
        <f>VLOOKUP(F672,Tabela_1[#ALL],2,0)</f>
        <v>Distrib. Litoral Sul S.A.</v>
      </c>
      <c r="H672" s="2" t="str">
        <f>VLOOKUP(F672,Tabela_1[#ALL],3,0)</f>
        <v>distribuidor</v>
      </c>
      <c r="I672" s="2" t="s">
        <v>39</v>
      </c>
      <c r="J672" s="2">
        <v>3.0</v>
      </c>
      <c r="K672" s="14">
        <v>16240.0</v>
      </c>
      <c r="L672" s="14">
        <v>14500.0</v>
      </c>
      <c r="M672" s="14">
        <v>1740.0</v>
      </c>
      <c r="N672" s="14">
        <v>1942.0</v>
      </c>
      <c r="O672" s="14">
        <f t="shared" si="2"/>
        <v>-202</v>
      </c>
      <c r="P672" s="2" t="s">
        <v>2597</v>
      </c>
    </row>
    <row r="673" ht="22.5" customHeight="1">
      <c r="A673" s="2" t="s">
        <v>2450</v>
      </c>
      <c r="B673" s="12">
        <v>46201.0</v>
      </c>
      <c r="C673" s="13" t="str">
        <f t="shared" si="1"/>
        <v>2026-06</v>
      </c>
      <c r="D673" s="12">
        <v>46230.0</v>
      </c>
      <c r="E673" s="12">
        <v>46227.0</v>
      </c>
      <c r="F673" s="2" t="s">
        <v>203</v>
      </c>
      <c r="G673" s="2" t="str">
        <f>VLOOKUP(F673,Tabela_1[#ALL],2,0)</f>
        <v>BeautyLab S.A.</v>
      </c>
      <c r="H673" s="2" t="str">
        <f>VLOOKUP(F673,Tabela_1[#ALL],3,0)</f>
        <v>cosmetico</v>
      </c>
      <c r="I673" s="2" t="s">
        <v>22</v>
      </c>
      <c r="J673" s="2">
        <v>2.0</v>
      </c>
      <c r="K673" s="14">
        <v>9273.6</v>
      </c>
      <c r="L673" s="14">
        <v>7286.4</v>
      </c>
      <c r="M673" s="14">
        <v>1987.2</v>
      </c>
      <c r="N673" s="14">
        <v>2996.0</v>
      </c>
      <c r="O673" s="14">
        <f t="shared" si="2"/>
        <v>-1008.8</v>
      </c>
      <c r="P673" s="2" t="s">
        <v>2597</v>
      </c>
    </row>
    <row r="674" ht="22.5" customHeight="1">
      <c r="A674" s="2" t="s">
        <v>2452</v>
      </c>
      <c r="B674" s="12">
        <v>46201.0</v>
      </c>
      <c r="C674" s="13" t="str">
        <f t="shared" si="1"/>
        <v>2026-06</v>
      </c>
      <c r="D674" s="12">
        <v>46217.0</v>
      </c>
      <c r="E674" s="12">
        <v>46215.0</v>
      </c>
      <c r="F674" s="2" t="s">
        <v>215</v>
      </c>
      <c r="G674" s="2" t="str">
        <f>VLOOKUP(F674,Tabela_1[#ALL],2,0)</f>
        <v>Lumen Beauty EPP</v>
      </c>
      <c r="H674" s="2" t="str">
        <f>VLOOKUP(F674,Tabela_1[#ALL],3,0)</f>
        <v>cosmetico</v>
      </c>
      <c r="I674" s="2" t="s">
        <v>22</v>
      </c>
      <c r="J674" s="2">
        <v>3.0</v>
      </c>
      <c r="K674" s="14">
        <v>12934.9</v>
      </c>
      <c r="L674" s="14">
        <v>10723.1</v>
      </c>
      <c r="M674" s="14">
        <v>2211.8</v>
      </c>
      <c r="N674" s="14">
        <v>2563.0</v>
      </c>
      <c r="O674" s="14">
        <f t="shared" si="2"/>
        <v>-351.2</v>
      </c>
      <c r="P674" s="2" t="s">
        <v>2597</v>
      </c>
    </row>
    <row r="675" ht="22.5" customHeight="1">
      <c r="A675" s="2" t="s">
        <v>2454</v>
      </c>
      <c r="B675" s="12">
        <v>46201.0</v>
      </c>
      <c r="C675" s="13" t="str">
        <f t="shared" si="1"/>
        <v>2026-06</v>
      </c>
      <c r="D675" s="12">
        <v>46224.0</v>
      </c>
      <c r="E675" s="12">
        <v>46225.0</v>
      </c>
      <c r="F675" s="2" t="s">
        <v>225</v>
      </c>
      <c r="G675" s="2" t="str">
        <f>VLOOKUP(F675,Tabela_1[#ALL],2,0)</f>
        <v>Laticínios Boa Vista EPP</v>
      </c>
      <c r="H675" s="2" t="str">
        <f>VLOOKUP(F675,Tabela_1[#ALL],3,0)</f>
        <v>alimenticio</v>
      </c>
      <c r="I675" s="2" t="s">
        <v>49</v>
      </c>
      <c r="J675" s="2">
        <v>1.0</v>
      </c>
      <c r="K675" s="14">
        <v>13704.6</v>
      </c>
      <c r="L675" s="14">
        <v>11094.2</v>
      </c>
      <c r="M675" s="14">
        <v>2610.4</v>
      </c>
      <c r="N675" s="14">
        <v>813.0</v>
      </c>
      <c r="O675" s="14">
        <f t="shared" si="2"/>
        <v>1797.4</v>
      </c>
      <c r="P675" s="2" t="s">
        <v>2597</v>
      </c>
    </row>
    <row r="676" ht="22.5" customHeight="1">
      <c r="A676" s="2" t="s">
        <v>2457</v>
      </c>
      <c r="B676" s="12">
        <v>46202.0</v>
      </c>
      <c r="C676" s="13" t="str">
        <f t="shared" si="1"/>
        <v>2026-06</v>
      </c>
      <c r="D676" s="12">
        <v>46224.0</v>
      </c>
      <c r="E676" s="12">
        <v>46225.0</v>
      </c>
      <c r="F676" s="2" t="s">
        <v>10</v>
      </c>
      <c r="G676" s="2" t="str">
        <f>VLOOKUP(F676,Tabela_1[#ALL],2,0)</f>
        <v>AgroMar</v>
      </c>
      <c r="H676" s="2" t="str">
        <f>VLOOKUP(F676,Tabela_1[#ALL],3,0)</f>
        <v>alimenticio</v>
      </c>
      <c r="I676" s="2" t="s">
        <v>16</v>
      </c>
      <c r="J676" s="2">
        <v>3.0</v>
      </c>
      <c r="K676" s="14">
        <v>178704.6</v>
      </c>
      <c r="L676" s="14">
        <v>136155.9</v>
      </c>
      <c r="M676" s="14">
        <v>42548.7</v>
      </c>
      <c r="N676" s="14">
        <v>8928.0</v>
      </c>
      <c r="O676" s="14">
        <f t="shared" si="2"/>
        <v>33620.7</v>
      </c>
      <c r="P676" s="2" t="s">
        <v>2597</v>
      </c>
    </row>
    <row r="677" ht="22.5" customHeight="1">
      <c r="A677" s="2" t="s">
        <v>2461</v>
      </c>
      <c r="B677" s="12">
        <v>46202.0</v>
      </c>
      <c r="C677" s="13" t="str">
        <f t="shared" si="1"/>
        <v>2026-06</v>
      </c>
      <c r="D677" s="12">
        <v>46236.0</v>
      </c>
      <c r="E677" s="12">
        <v>46238.0</v>
      </c>
      <c r="F677" s="2" t="s">
        <v>19</v>
      </c>
      <c r="G677" s="2" t="str">
        <f>VLOOKUP(F677,Tabela_1[#ALL],2,0)</f>
        <v>NorteAgro</v>
      </c>
      <c r="H677" s="2" t="str">
        <f>VLOOKUP(F677,Tabela_1[#ALL],3,0)</f>
        <v>alimenticio</v>
      </c>
      <c r="I677" s="2" t="s">
        <v>22</v>
      </c>
      <c r="J677" s="2">
        <v>2.0</v>
      </c>
      <c r="K677" s="14">
        <v>163215.2</v>
      </c>
      <c r="L677" s="14">
        <v>125263.1</v>
      </c>
      <c r="M677" s="14">
        <v>37952.1</v>
      </c>
      <c r="N677" s="14">
        <v>11022.0</v>
      </c>
      <c r="O677" s="14">
        <f t="shared" si="2"/>
        <v>26930.1</v>
      </c>
      <c r="P677" s="2" t="s">
        <v>2597</v>
      </c>
    </row>
    <row r="678" ht="22.5" customHeight="1">
      <c r="A678" s="2" t="s">
        <v>2467</v>
      </c>
      <c r="B678" s="12">
        <v>46202.0</v>
      </c>
      <c r="C678" s="13" t="str">
        <f t="shared" si="1"/>
        <v>2026-06</v>
      </c>
      <c r="D678" s="12">
        <v>46218.0</v>
      </c>
      <c r="F678" s="2" t="s">
        <v>57</v>
      </c>
      <c r="G678" s="2" t="str">
        <f>VLOOKUP(F678,Tabela_1[#ALL],2,0)</f>
        <v>Distribuidora Oeste</v>
      </c>
      <c r="H678" s="2" t="str">
        <f>VLOOKUP(F678,Tabela_1[#ALL],3,0)</f>
        <v>distribuidor</v>
      </c>
      <c r="I678" s="2" t="s">
        <v>39</v>
      </c>
      <c r="J678" s="2">
        <v>1.0</v>
      </c>
      <c r="K678" s="14">
        <v>26476.8</v>
      </c>
      <c r="L678" s="14">
        <v>23640.0</v>
      </c>
      <c r="M678" s="14">
        <v>2836.8</v>
      </c>
      <c r="N678" s="14">
        <v>241.0</v>
      </c>
      <c r="O678" s="14">
        <f t="shared" si="2"/>
        <v>2595.8</v>
      </c>
      <c r="P678" s="2" t="s">
        <v>2600</v>
      </c>
    </row>
    <row r="679" ht="22.5" customHeight="1">
      <c r="A679" s="2" t="s">
        <v>2469</v>
      </c>
      <c r="B679" s="12">
        <v>46202.0</v>
      </c>
      <c r="C679" s="13" t="str">
        <f t="shared" si="1"/>
        <v>2026-06</v>
      </c>
      <c r="D679" s="12">
        <v>46234.0</v>
      </c>
      <c r="E679" s="12">
        <v>46233.0</v>
      </c>
      <c r="F679" s="2" t="s">
        <v>59</v>
      </c>
      <c r="G679" s="2" t="str">
        <f>VLOOKUP(F679,Tabela_1[#ALL],2,0)</f>
        <v>BioGenova</v>
      </c>
      <c r="H679" s="2" t="str">
        <f>VLOOKUP(F679,Tabela_1[#ALL],3,0)</f>
        <v>farmaceutico</v>
      </c>
      <c r="I679" s="2" t="s">
        <v>49</v>
      </c>
      <c r="J679" s="2">
        <v>1.0</v>
      </c>
      <c r="K679" s="14">
        <v>33952.4</v>
      </c>
      <c r="L679" s="14">
        <v>28460.1</v>
      </c>
      <c r="M679" s="14">
        <v>5492.3</v>
      </c>
      <c r="N679" s="14">
        <v>9398.0</v>
      </c>
      <c r="O679" s="14">
        <f t="shared" si="2"/>
        <v>-3905.7</v>
      </c>
      <c r="P679" s="2" t="s">
        <v>2597</v>
      </c>
    </row>
    <row r="680" ht="22.5" customHeight="1">
      <c r="A680" s="2" t="s">
        <v>2472</v>
      </c>
      <c r="B680" s="12">
        <v>46202.0</v>
      </c>
      <c r="C680" s="13" t="str">
        <f t="shared" si="1"/>
        <v>2026-06</v>
      </c>
      <c r="D680" s="12">
        <v>46231.0</v>
      </c>
      <c r="E680" s="12">
        <v>46233.0</v>
      </c>
      <c r="F680" s="2" t="s">
        <v>61</v>
      </c>
      <c r="G680" s="2" t="str">
        <f>VLOOKUP(F680,Tabela_1[#ALL],2,0)</f>
        <v>Mercosul Atacado</v>
      </c>
      <c r="H680" s="2" t="str">
        <f>VLOOKUP(F680,Tabela_1[#ALL],3,0)</f>
        <v>distribuidor</v>
      </c>
      <c r="I680" s="2" t="s">
        <v>39</v>
      </c>
      <c r="J680" s="2">
        <v>3.0</v>
      </c>
      <c r="K680" s="14">
        <v>18586.4</v>
      </c>
      <c r="L680" s="14">
        <v>15562.5</v>
      </c>
      <c r="M680" s="14">
        <v>3023.9</v>
      </c>
      <c r="N680" s="14">
        <v>2994.0</v>
      </c>
      <c r="O680" s="14">
        <f t="shared" si="2"/>
        <v>29.9</v>
      </c>
      <c r="P680" s="2" t="s">
        <v>2597</v>
      </c>
    </row>
    <row r="681" ht="22.5" customHeight="1">
      <c r="A681" s="2" t="s">
        <v>2474</v>
      </c>
      <c r="B681" s="12">
        <v>46202.0</v>
      </c>
      <c r="C681" s="13" t="str">
        <f t="shared" si="1"/>
        <v>2026-06</v>
      </c>
      <c r="D681" s="12">
        <v>46220.0</v>
      </c>
      <c r="E681" s="12">
        <v>46222.0</v>
      </c>
      <c r="F681" s="2" t="s">
        <v>69</v>
      </c>
      <c r="G681" s="2" t="str">
        <f>VLOOKUP(F681,Tabela_1[#ALL],2,0)</f>
        <v>Naturalle</v>
      </c>
      <c r="H681" s="2" t="str">
        <f>VLOOKUP(F681,Tabela_1[#ALL],3,0)</f>
        <v>cosmetico</v>
      </c>
      <c r="I681" s="2" t="s">
        <v>39</v>
      </c>
      <c r="J681" s="2">
        <v>2.0</v>
      </c>
      <c r="K681" s="14">
        <v>32978.4</v>
      </c>
      <c r="L681" s="14">
        <v>25911.6</v>
      </c>
      <c r="M681" s="14">
        <v>7066.8</v>
      </c>
      <c r="N681" s="14">
        <v>304.0</v>
      </c>
      <c r="O681" s="14">
        <f t="shared" si="2"/>
        <v>6762.8</v>
      </c>
      <c r="P681" s="2" t="s">
        <v>2597</v>
      </c>
    </row>
    <row r="682" ht="22.5" customHeight="1">
      <c r="A682" s="2" t="s">
        <v>2477</v>
      </c>
      <c r="B682" s="12">
        <v>46202.0</v>
      </c>
      <c r="C682" s="13" t="str">
        <f t="shared" si="1"/>
        <v>2026-06</v>
      </c>
      <c r="D682" s="12">
        <v>46232.0</v>
      </c>
      <c r="E682" s="12">
        <v>46234.0</v>
      </c>
      <c r="F682" s="2" t="s">
        <v>95</v>
      </c>
      <c r="G682" s="2" t="str">
        <f>VLOOKUP(F682,Tabela_1[#ALL],2,0)</f>
        <v>Mercado Vale</v>
      </c>
      <c r="H682" s="2" t="str">
        <f>VLOOKUP(F682,Tabela_1[#ALL],3,0)</f>
        <v>varejo</v>
      </c>
      <c r="I682" s="2" t="s">
        <v>56</v>
      </c>
      <c r="J682" s="2">
        <v>2.0</v>
      </c>
      <c r="K682" s="14">
        <v>10200.4</v>
      </c>
      <c r="L682" s="14">
        <v>9107.5</v>
      </c>
      <c r="M682" s="14">
        <v>1092.9</v>
      </c>
      <c r="N682" s="14">
        <v>6993.0</v>
      </c>
      <c r="O682" s="14">
        <f t="shared" si="2"/>
        <v>-5900.1</v>
      </c>
      <c r="P682" s="2" t="s">
        <v>2597</v>
      </c>
    </row>
    <row r="683" ht="22.5" customHeight="1">
      <c r="A683" s="2" t="s">
        <v>2480</v>
      </c>
      <c r="B683" s="12">
        <v>46202.0</v>
      </c>
      <c r="C683" s="13" t="str">
        <f t="shared" si="1"/>
        <v>2026-06</v>
      </c>
      <c r="D683" s="12">
        <v>46229.0</v>
      </c>
      <c r="E683" s="12">
        <v>46231.0</v>
      </c>
      <c r="F683" s="2" t="s">
        <v>111</v>
      </c>
      <c r="G683" s="2" t="str">
        <f>VLOOKUP(F683,Tabela_1[#ALL],2,0)</f>
        <v>Salutar Farma Comércio</v>
      </c>
      <c r="H683" s="2" t="str">
        <f>VLOOKUP(F683,Tabela_1[#ALL],3,0)</f>
        <v>farmaceutico</v>
      </c>
      <c r="I683" s="2" t="s">
        <v>43</v>
      </c>
      <c r="J683" s="2">
        <v>1.0</v>
      </c>
      <c r="K683" s="14">
        <v>6993.0</v>
      </c>
      <c r="L683" s="14">
        <v>5494.5</v>
      </c>
      <c r="M683" s="14">
        <v>1498.5</v>
      </c>
      <c r="N683" s="14">
        <v>2214.0</v>
      </c>
      <c r="O683" s="14">
        <f t="shared" si="2"/>
        <v>-715.5</v>
      </c>
      <c r="P683" s="2" t="s">
        <v>2597</v>
      </c>
    </row>
    <row r="684" ht="22.5" customHeight="1">
      <c r="A684" s="2" t="s">
        <v>2482</v>
      </c>
      <c r="B684" s="12">
        <v>46202.0</v>
      </c>
      <c r="C684" s="13" t="str">
        <f t="shared" si="1"/>
        <v>2026-06</v>
      </c>
      <c r="D684" s="12">
        <v>46229.0</v>
      </c>
      <c r="E684" s="12">
        <v>46228.0</v>
      </c>
      <c r="F684" s="2" t="s">
        <v>132</v>
      </c>
      <c r="G684" s="2" t="str">
        <f>VLOOKUP(F684,Tabela_1[#ALL],2,0)</f>
        <v>Doce Vale</v>
      </c>
      <c r="H684" s="2" t="str">
        <f>VLOOKUP(F684,Tabela_1[#ALL],3,0)</f>
        <v>alimenticio</v>
      </c>
      <c r="I684" s="2" t="s">
        <v>39</v>
      </c>
      <c r="J684" s="2">
        <v>2.0</v>
      </c>
      <c r="K684" s="14">
        <v>7635.6</v>
      </c>
      <c r="L684" s="14">
        <v>6181.2</v>
      </c>
      <c r="M684" s="14">
        <v>1454.4</v>
      </c>
      <c r="N684" s="14">
        <v>1543.0</v>
      </c>
      <c r="O684" s="14">
        <f t="shared" si="2"/>
        <v>-88.6</v>
      </c>
      <c r="P684" s="2" t="s">
        <v>2597</v>
      </c>
    </row>
    <row r="685" ht="22.5" customHeight="1">
      <c r="A685" s="2" t="s">
        <v>2484</v>
      </c>
      <c r="B685" s="12">
        <v>46202.0</v>
      </c>
      <c r="C685" s="13" t="str">
        <f t="shared" si="1"/>
        <v>2026-06</v>
      </c>
      <c r="D685" s="12">
        <v>46232.0</v>
      </c>
      <c r="E685" s="12">
        <v>46232.0</v>
      </c>
      <c r="F685" s="2" t="s">
        <v>134</v>
      </c>
      <c r="G685" s="2" t="str">
        <f>VLOOKUP(F685,Tabela_1[#ALL],2,0)</f>
        <v>Nutrigrão Cooperativa</v>
      </c>
      <c r="H685" s="2" t="str">
        <f>VLOOKUP(F685,Tabela_1[#ALL],3,0)</f>
        <v>alimenticio</v>
      </c>
      <c r="I685" s="2" t="s">
        <v>91</v>
      </c>
      <c r="J685" s="2">
        <v>3.0</v>
      </c>
      <c r="K685" s="14">
        <v>10140.6</v>
      </c>
      <c r="L685" s="14">
        <v>8406.5</v>
      </c>
      <c r="M685" s="14">
        <v>1734.1</v>
      </c>
      <c r="N685" s="14">
        <v>6816.0</v>
      </c>
      <c r="O685" s="14">
        <f t="shared" si="2"/>
        <v>-5081.9</v>
      </c>
      <c r="P685" s="2" t="s">
        <v>2597</v>
      </c>
    </row>
    <row r="686" ht="22.5" customHeight="1">
      <c r="A686" s="2" t="s">
        <v>2486</v>
      </c>
      <c r="B686" s="12">
        <v>46202.0</v>
      </c>
      <c r="C686" s="13" t="str">
        <f t="shared" si="1"/>
        <v>2026-06</v>
      </c>
      <c r="D686" s="12">
        <v>46234.0</v>
      </c>
      <c r="E686" s="12">
        <v>46234.0</v>
      </c>
      <c r="F686" s="2" t="s">
        <v>143</v>
      </c>
      <c r="G686" s="2" t="str">
        <f>VLOOKUP(F686,Tabela_1[#ALL],2,0)</f>
        <v>Rede Vita ME</v>
      </c>
      <c r="H686" s="2" t="str">
        <f>VLOOKUP(F686,Tabela_1[#ALL],3,0)</f>
        <v>varejo</v>
      </c>
      <c r="I686" s="2" t="s">
        <v>91</v>
      </c>
      <c r="J686" s="2">
        <v>1.0</v>
      </c>
      <c r="K686" s="14">
        <v>5967.0</v>
      </c>
      <c r="L686" s="14">
        <v>4681.8</v>
      </c>
      <c r="M686" s="14">
        <v>1285.2</v>
      </c>
      <c r="N686" s="14">
        <v>6811.0</v>
      </c>
      <c r="O686" s="14">
        <f t="shared" si="2"/>
        <v>-5525.8</v>
      </c>
      <c r="P686" s="2" t="s">
        <v>2597</v>
      </c>
    </row>
    <row r="687" ht="22.5" customHeight="1">
      <c r="A687" s="2" t="s">
        <v>2487</v>
      </c>
      <c r="B687" s="12">
        <v>46202.0</v>
      </c>
      <c r="C687" s="13" t="str">
        <f t="shared" si="1"/>
        <v>2026-06</v>
      </c>
      <c r="D687" s="12">
        <v>46227.0</v>
      </c>
      <c r="E687" s="12">
        <v>46225.0</v>
      </c>
      <c r="F687" s="2" t="s">
        <v>205</v>
      </c>
      <c r="G687" s="2" t="str">
        <f>VLOOKUP(F687,Tabela_1[#ALL],2,0)</f>
        <v>Farmalivre Indústria</v>
      </c>
      <c r="H687" s="2" t="str">
        <f>VLOOKUP(F687,Tabela_1[#ALL],3,0)</f>
        <v>farmaceutico</v>
      </c>
      <c r="I687" s="2" t="s">
        <v>91</v>
      </c>
      <c r="J687" s="2">
        <v>1.0</v>
      </c>
      <c r="K687" s="14">
        <v>11981.6</v>
      </c>
      <c r="L687" s="14">
        <v>8986.2</v>
      </c>
      <c r="M687" s="14">
        <v>2995.4</v>
      </c>
      <c r="N687" s="14">
        <v>1604.0</v>
      </c>
      <c r="O687" s="14">
        <f t="shared" si="2"/>
        <v>1391.4</v>
      </c>
      <c r="P687" s="2" t="s">
        <v>2597</v>
      </c>
    </row>
    <row r="688" ht="22.5" customHeight="1">
      <c r="A688" s="2" t="s">
        <v>2489</v>
      </c>
      <c r="B688" s="12">
        <v>46202.0</v>
      </c>
      <c r="C688" s="13" t="str">
        <f t="shared" si="1"/>
        <v>2026-06</v>
      </c>
      <c r="D688" s="12">
        <v>46222.0</v>
      </c>
      <c r="E688" s="12">
        <v>46224.0</v>
      </c>
      <c r="F688" s="2" t="s">
        <v>245</v>
      </c>
      <c r="G688" s="2" t="str">
        <f>VLOOKUP(F688,Tabela_1[#ALL],2,0)</f>
        <v>Laticínios Boa Vista ME</v>
      </c>
      <c r="H688" s="2" t="str">
        <f>VLOOKUP(F688,Tabela_1[#ALL],3,0)</f>
        <v>alimenticio</v>
      </c>
      <c r="I688" s="2" t="s">
        <v>22</v>
      </c>
      <c r="J688" s="2">
        <v>1.0</v>
      </c>
      <c r="K688" s="14">
        <v>41262.0</v>
      </c>
      <c r="L688" s="14">
        <v>32136.75</v>
      </c>
      <c r="M688" s="14">
        <v>9125.25</v>
      </c>
      <c r="N688" s="14">
        <v>3272.0</v>
      </c>
      <c r="O688" s="14">
        <f t="shared" si="2"/>
        <v>5853.25</v>
      </c>
      <c r="P688" s="2" t="s">
        <v>2597</v>
      </c>
    </row>
    <row r="689" ht="22.5" customHeight="1">
      <c r="A689" s="2" t="s">
        <v>2492</v>
      </c>
      <c r="B689" s="12">
        <v>46202.0</v>
      </c>
      <c r="C689" s="13" t="str">
        <f t="shared" si="1"/>
        <v>2026-06</v>
      </c>
      <c r="D689" s="12">
        <v>46236.0</v>
      </c>
      <c r="E689" s="12">
        <v>46237.0</v>
      </c>
      <c r="F689" s="2" t="s">
        <v>247</v>
      </c>
      <c r="G689" s="2" t="str">
        <f>VLOOKUP(F689,Tabela_1[#ALL],2,0)</f>
        <v>MedPlus Indústria Cooperativa</v>
      </c>
      <c r="H689" s="2" t="str">
        <f>VLOOKUP(F689,Tabela_1[#ALL],3,0)</f>
        <v>farmaceutico</v>
      </c>
      <c r="I689" s="2" t="s">
        <v>49</v>
      </c>
      <c r="J689" s="2">
        <v>1.0</v>
      </c>
      <c r="K689" s="14">
        <v>33390.0</v>
      </c>
      <c r="L689" s="14">
        <v>29812.5</v>
      </c>
      <c r="M689" s="14">
        <v>3577.5</v>
      </c>
      <c r="N689" s="14">
        <v>1907.0</v>
      </c>
      <c r="O689" s="14">
        <f t="shared" si="2"/>
        <v>1670.5</v>
      </c>
      <c r="P689" s="2" t="s">
        <v>2597</v>
      </c>
    </row>
    <row r="690" ht="22.5" customHeight="1">
      <c r="A690" s="2" t="s">
        <v>2494</v>
      </c>
      <c r="B690" s="12">
        <v>46203.0</v>
      </c>
      <c r="C690" s="13" t="str">
        <f t="shared" si="1"/>
        <v>2026-06</v>
      </c>
      <c r="D690" s="12">
        <v>46237.0</v>
      </c>
      <c r="E690" s="12">
        <v>46239.0</v>
      </c>
      <c r="F690" s="2" t="s">
        <v>19</v>
      </c>
      <c r="G690" s="2" t="str">
        <f>VLOOKUP(F690,Tabela_1[#ALL],2,0)</f>
        <v>NorteAgro</v>
      </c>
      <c r="H690" s="2" t="str">
        <f>VLOOKUP(F690,Tabela_1[#ALL],3,0)</f>
        <v>alimenticio</v>
      </c>
      <c r="I690" s="2" t="s">
        <v>22</v>
      </c>
      <c r="J690" s="2">
        <v>2.0</v>
      </c>
      <c r="K690" s="14">
        <v>308976.0</v>
      </c>
      <c r="L690" s="14">
        <v>249819.75</v>
      </c>
      <c r="M690" s="14">
        <v>59156.25</v>
      </c>
      <c r="N690" s="14">
        <v>9124.0</v>
      </c>
      <c r="O690" s="14">
        <f t="shared" si="2"/>
        <v>50032.25</v>
      </c>
      <c r="P690" s="2" t="s">
        <v>2597</v>
      </c>
    </row>
    <row r="691" ht="22.5" customHeight="1">
      <c r="A691" s="2" t="s">
        <v>2501</v>
      </c>
      <c r="B691" s="12">
        <v>46203.0</v>
      </c>
      <c r="C691" s="13" t="str">
        <f t="shared" si="1"/>
        <v>2026-06</v>
      </c>
      <c r="D691" s="12">
        <v>46220.0</v>
      </c>
      <c r="E691" s="12">
        <v>46218.0</v>
      </c>
      <c r="F691" s="2" t="s">
        <v>28</v>
      </c>
      <c r="G691" s="2" t="str">
        <f>VLOOKUP(F691,Tabela_1[#ALL],2,0)</f>
        <v>CoopFrigo</v>
      </c>
      <c r="H691" s="2" t="str">
        <f>VLOOKUP(F691,Tabela_1[#ALL],3,0)</f>
        <v>alimenticio</v>
      </c>
      <c r="I691" s="2" t="s">
        <v>16</v>
      </c>
      <c r="J691" s="2">
        <v>1.0</v>
      </c>
      <c r="K691" s="14">
        <v>110894.0</v>
      </c>
      <c r="L691" s="14">
        <v>99012.5</v>
      </c>
      <c r="M691" s="14">
        <v>11881.5</v>
      </c>
      <c r="N691" s="14">
        <v>1999.0</v>
      </c>
      <c r="O691" s="14">
        <f t="shared" si="2"/>
        <v>9882.5</v>
      </c>
      <c r="P691" s="2" t="s">
        <v>2597</v>
      </c>
    </row>
    <row r="692" ht="22.5" customHeight="1">
      <c r="A692" s="2" t="s">
        <v>2504</v>
      </c>
      <c r="B692" s="12">
        <v>46203.0</v>
      </c>
      <c r="C692" s="13" t="str">
        <f t="shared" si="1"/>
        <v>2026-06</v>
      </c>
      <c r="D692" s="12">
        <v>46224.0</v>
      </c>
      <c r="E692" s="12">
        <v>46225.0</v>
      </c>
      <c r="F692" s="2" t="s">
        <v>31</v>
      </c>
      <c r="G692" s="2" t="str">
        <f>VLOOKUP(F692,Tabela_1[#ALL],2,0)</f>
        <v>Distribuidora Sul PR</v>
      </c>
      <c r="H692" s="2" t="str">
        <f>VLOOKUP(F692,Tabela_1[#ALL],3,0)</f>
        <v>distribuidor</v>
      </c>
      <c r="I692" s="2" t="s">
        <v>16</v>
      </c>
      <c r="J692" s="2">
        <v>3.0</v>
      </c>
      <c r="K692" s="14">
        <v>139597.1</v>
      </c>
      <c r="L692" s="14">
        <v>111848.1</v>
      </c>
      <c r="M692" s="14">
        <v>27749.0</v>
      </c>
      <c r="N692" s="14">
        <v>10975.0</v>
      </c>
      <c r="O692" s="14">
        <f t="shared" si="2"/>
        <v>16774</v>
      </c>
      <c r="P692" s="2" t="s">
        <v>2597</v>
      </c>
    </row>
    <row r="693" ht="22.5" customHeight="1">
      <c r="A693" s="2" t="s">
        <v>2510</v>
      </c>
      <c r="B693" s="12">
        <v>46203.0</v>
      </c>
      <c r="C693" s="13" t="str">
        <f t="shared" si="1"/>
        <v>2026-06</v>
      </c>
      <c r="D693" s="12">
        <v>46227.0</v>
      </c>
      <c r="F693" s="2" t="s">
        <v>108</v>
      </c>
      <c r="G693" s="2" t="str">
        <f>VLOOKUP(F693,Tabela_1[#ALL],2,0)</f>
        <v>Ciência da Vida Farma</v>
      </c>
      <c r="H693" s="2" t="str">
        <f>VLOOKUP(F693,Tabela_1[#ALL],3,0)</f>
        <v>farmaceutico</v>
      </c>
      <c r="I693" s="2" t="s">
        <v>91</v>
      </c>
      <c r="J693" s="2">
        <v>3.0</v>
      </c>
      <c r="K693" s="14">
        <v>28659.4</v>
      </c>
      <c r="L693" s="14">
        <v>24792.5</v>
      </c>
      <c r="M693" s="14">
        <v>3866.9</v>
      </c>
      <c r="N693" s="14">
        <v>2095.0</v>
      </c>
      <c r="O693" s="14">
        <f t="shared" si="2"/>
        <v>1771.9</v>
      </c>
      <c r="P693" s="2" t="s">
        <v>2598</v>
      </c>
    </row>
    <row r="694" ht="22.5" customHeight="1">
      <c r="A694" s="2" t="s">
        <v>2513</v>
      </c>
      <c r="B694" s="12">
        <v>46203.0</v>
      </c>
      <c r="C694" s="13" t="str">
        <f t="shared" si="1"/>
        <v>2026-06</v>
      </c>
      <c r="D694" s="12">
        <v>46238.0</v>
      </c>
      <c r="E694" s="12">
        <v>46246.0</v>
      </c>
      <c r="F694" s="2" t="s">
        <v>119</v>
      </c>
      <c r="G694" s="2" t="str">
        <f>VLOOKUP(F694,Tabela_1[#ALL],2,0)</f>
        <v>Coopercana ME</v>
      </c>
      <c r="H694" s="2" t="str">
        <f>VLOOKUP(F694,Tabela_1[#ALL],3,0)</f>
        <v>alimenticio</v>
      </c>
      <c r="I694" s="2" t="s">
        <v>56</v>
      </c>
      <c r="J694" s="2">
        <v>2.0</v>
      </c>
      <c r="K694" s="14">
        <v>7870.2</v>
      </c>
      <c r="L694" s="14">
        <v>6273.0</v>
      </c>
      <c r="M694" s="14">
        <v>1597.2</v>
      </c>
      <c r="N694" s="14">
        <v>3309.0</v>
      </c>
      <c r="O694" s="14">
        <f t="shared" si="2"/>
        <v>-1711.8</v>
      </c>
      <c r="P694" s="2" t="s">
        <v>2597</v>
      </c>
    </row>
    <row r="695" ht="22.5" customHeight="1">
      <c r="A695" s="2" t="s">
        <v>2516</v>
      </c>
      <c r="B695" s="12">
        <v>46203.0</v>
      </c>
      <c r="C695" s="13" t="str">
        <f t="shared" si="1"/>
        <v>2026-06</v>
      </c>
      <c r="D695" s="12">
        <v>46235.0</v>
      </c>
      <c r="E695" s="12">
        <v>46234.0</v>
      </c>
      <c r="F695" s="2" t="s">
        <v>128</v>
      </c>
      <c r="G695" s="2" t="str">
        <f>VLOOKUP(F695,Tabela_1[#ALL],2,0)</f>
        <v>EnviaTudo Cooperativa</v>
      </c>
      <c r="H695" s="2" t="str">
        <f>VLOOKUP(F695,Tabela_1[#ALL],3,0)</f>
        <v>ecommerce</v>
      </c>
      <c r="I695" s="2" t="s">
        <v>56</v>
      </c>
      <c r="J695" s="2">
        <v>2.0</v>
      </c>
      <c r="K695" s="14">
        <v>6484.8</v>
      </c>
      <c r="L695" s="14">
        <v>5249.6</v>
      </c>
      <c r="M695" s="14">
        <v>1235.2</v>
      </c>
      <c r="N695" s="14">
        <v>5679.0</v>
      </c>
      <c r="O695" s="14">
        <f t="shared" si="2"/>
        <v>-4443.8</v>
      </c>
      <c r="P695" s="2" t="s">
        <v>2597</v>
      </c>
    </row>
    <row r="696" ht="22.5" customHeight="1">
      <c r="A696" s="2" t="s">
        <v>2517</v>
      </c>
      <c r="B696" s="12">
        <v>46203.0</v>
      </c>
      <c r="C696" s="13" t="str">
        <f t="shared" si="1"/>
        <v>2026-06</v>
      </c>
      <c r="D696" s="12">
        <v>46236.0</v>
      </c>
      <c r="E696" s="12">
        <v>46233.0</v>
      </c>
      <c r="F696" s="2" t="s">
        <v>177</v>
      </c>
      <c r="G696" s="2" t="str">
        <f>VLOOKUP(F696,Tabela_1[#ALL],2,0)</f>
        <v>EntregaCerta ME</v>
      </c>
      <c r="H696" s="2" t="str">
        <f>VLOOKUP(F696,Tabela_1[#ALL],3,0)</f>
        <v>ecommerce</v>
      </c>
      <c r="I696" s="2" t="s">
        <v>91</v>
      </c>
      <c r="J696" s="2">
        <v>3.0</v>
      </c>
      <c r="K696" s="14">
        <v>38446.8</v>
      </c>
      <c r="L696" s="14">
        <v>30208.2</v>
      </c>
      <c r="M696" s="14">
        <v>8238.6</v>
      </c>
      <c r="N696" s="14">
        <v>2666.0</v>
      </c>
      <c r="O696" s="14">
        <f t="shared" si="2"/>
        <v>5572.6</v>
      </c>
      <c r="P696" s="2" t="s">
        <v>2597</v>
      </c>
    </row>
    <row r="697" ht="22.5" customHeight="1">
      <c r="A697" s="2" t="s">
        <v>2522</v>
      </c>
      <c r="B697" s="12">
        <v>46203.0</v>
      </c>
      <c r="C697" s="13" t="str">
        <f t="shared" si="1"/>
        <v>2026-06</v>
      </c>
      <c r="D697" s="12">
        <v>46220.0</v>
      </c>
      <c r="E697" s="12">
        <v>46220.0</v>
      </c>
      <c r="F697" s="2" t="s">
        <v>239</v>
      </c>
      <c r="G697" s="2" t="str">
        <f>VLOOKUP(F697,Tabela_1[#ALL],2,0)</f>
        <v>FreteFix Comércio</v>
      </c>
      <c r="H697" s="2" t="str">
        <f>VLOOKUP(F697,Tabela_1[#ALL],3,0)</f>
        <v>logistica</v>
      </c>
      <c r="I697" s="2" t="s">
        <v>56</v>
      </c>
      <c r="J697" s="2">
        <v>3.0</v>
      </c>
      <c r="K697" s="14">
        <v>10890.2</v>
      </c>
      <c r="L697" s="14">
        <v>9330.8</v>
      </c>
      <c r="M697" s="14">
        <v>1559.4</v>
      </c>
      <c r="N697" s="14">
        <v>3276.0</v>
      </c>
      <c r="O697" s="14">
        <f t="shared" si="2"/>
        <v>-1716.6</v>
      </c>
      <c r="P697" s="2" t="s">
        <v>2597</v>
      </c>
    </row>
  </sheetData>
  <dataValidations>
    <dataValidation type="custom" allowBlank="1" showDropDown="1" sqref="B2:B697 D2:D697">
      <formula1>OR(NOT(ISERROR(DATEVALUE(B2))), AND(ISNUMBER(B2), LEFT(CELL("format", B2))="D"))</formula1>
    </dataValidation>
    <dataValidation type="custom" allowBlank="1" showDropDown="1" sqref="K2:N697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8" max="8" width="15.13"/>
    <col customWidth="1" min="16" max="16" width="15.13"/>
    <col customWidth="1" min="17" max="17" width="19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</sheetData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